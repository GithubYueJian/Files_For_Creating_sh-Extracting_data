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eJian\Desktop\Create_Order\"/>
    </mc:Choice>
  </mc:AlternateContent>
  <xr:revisionPtr revIDLastSave="0" documentId="13_ncr:1_{15D91F49-9E82-455B-8A37-6C522E9BF66B}" xr6:coauthVersionLast="36" xr6:coauthVersionMax="36" xr10:uidLastSave="{00000000-0000-0000-0000-000000000000}"/>
  <bookViews>
    <workbookView minimized="1" xWindow="0" yWindow="0" windowWidth="28215" windowHeight="13500" tabRatio="884" firstSheet="2" activeTab="2" xr2:uid="{00000000-000D-0000-FFFF-FFFF00000000}"/>
  </bookViews>
  <sheets>
    <sheet name="Summary" sheetId="1" r:id="rId1"/>
    <sheet name="Plot" sheetId="2" r:id="rId2"/>
    <sheet name="AI-10" sheetId="3" r:id="rId3"/>
    <sheet name="RA-10" sheetId="4" r:id="rId4"/>
    <sheet name="LDB-10" sheetId="5" r:id="rId5"/>
    <sheet name="LDP-10" sheetId="6" r:id="rId6"/>
    <sheet name="Reference" sheetId="7" r:id="rId7"/>
    <sheet name="Test" sheetId="8" r:id="rId8"/>
  </sheets>
  <functionGroups builtInGroupCount="19"/>
  <definedNames>
    <definedName name="_xlnm._FilterDatabase" localSheetId="1" hidden="1">Plot!$A$1:$B$2</definedName>
  </definedNames>
  <calcPr calcId="179021" calcOnSave="0"/>
</workbook>
</file>

<file path=xl/calcChain.xml><?xml version="1.0" encoding="utf-8"?>
<calcChain xmlns="http://schemas.openxmlformats.org/spreadsheetml/2006/main">
  <c r="C66" i="5" l="1"/>
  <c r="L91" i="5"/>
  <c r="M91" i="5"/>
  <c r="N91" i="5"/>
  <c r="O91" i="5"/>
  <c r="V63" i="3"/>
  <c r="L47" i="3" l="1"/>
  <c r="M47" i="3"/>
  <c r="N47" i="3"/>
  <c r="O47" i="3"/>
  <c r="P47" i="3"/>
  <c r="Q47" i="3"/>
  <c r="L48" i="3"/>
  <c r="M48" i="3"/>
  <c r="N48" i="3"/>
  <c r="O48" i="3"/>
  <c r="P48" i="3"/>
  <c r="Q48" i="3"/>
  <c r="L49" i="3"/>
  <c r="M49" i="3"/>
  <c r="N49" i="3"/>
  <c r="O49" i="3"/>
  <c r="P49" i="3"/>
  <c r="Q49" i="3"/>
  <c r="L50" i="3"/>
  <c r="M50" i="3"/>
  <c r="N50" i="3"/>
  <c r="O50" i="3"/>
  <c r="P50" i="3"/>
  <c r="Q50" i="3"/>
  <c r="L51" i="3"/>
  <c r="M51" i="3"/>
  <c r="N51" i="3"/>
  <c r="O51" i="3"/>
  <c r="P51" i="3"/>
  <c r="Q51" i="3"/>
  <c r="L52" i="3"/>
  <c r="M52" i="3"/>
  <c r="N52" i="3"/>
  <c r="O52" i="3"/>
  <c r="P52" i="3"/>
  <c r="Q52" i="3"/>
  <c r="L53" i="3"/>
  <c r="M53" i="3"/>
  <c r="N53" i="3"/>
  <c r="O53" i="3"/>
  <c r="P53" i="3"/>
  <c r="Q53" i="3"/>
  <c r="L54" i="3"/>
  <c r="M54" i="3"/>
  <c r="N54" i="3"/>
  <c r="O54" i="3"/>
  <c r="P54" i="3"/>
  <c r="Q54" i="3"/>
  <c r="L55" i="3"/>
  <c r="M55" i="3"/>
  <c r="N55" i="3"/>
  <c r="O55" i="3"/>
  <c r="P55" i="3"/>
  <c r="Q55" i="3"/>
  <c r="L56" i="3"/>
  <c r="M56" i="3"/>
  <c r="N56" i="3"/>
  <c r="O56" i="3"/>
  <c r="P56" i="3"/>
  <c r="Q56" i="3"/>
  <c r="L57" i="3"/>
  <c r="M57" i="3"/>
  <c r="N57" i="3"/>
  <c r="O57" i="3"/>
  <c r="P57" i="3"/>
  <c r="Q57" i="3"/>
  <c r="L58" i="3"/>
  <c r="M58" i="3"/>
  <c r="N58" i="3"/>
  <c r="O58" i="3"/>
  <c r="P58" i="3"/>
  <c r="Q58" i="3"/>
  <c r="L59" i="3"/>
  <c r="M59" i="3"/>
  <c r="N59" i="3"/>
  <c r="O59" i="3"/>
  <c r="P59" i="3"/>
  <c r="Q59" i="3"/>
  <c r="L60" i="3"/>
  <c r="M60" i="3"/>
  <c r="N60" i="3"/>
  <c r="O60" i="3"/>
  <c r="P60" i="3"/>
  <c r="Q60" i="3"/>
  <c r="L61" i="3"/>
  <c r="M61" i="3"/>
  <c r="N61" i="3"/>
  <c r="O61" i="3"/>
  <c r="P61" i="3"/>
  <c r="Q61" i="3"/>
  <c r="L62" i="3"/>
  <c r="M62" i="3"/>
  <c r="N62" i="3"/>
  <c r="O62" i="3"/>
  <c r="P62" i="3"/>
  <c r="Q62" i="3"/>
  <c r="T68" i="3"/>
  <c r="T70" i="3"/>
  <c r="T76" i="3"/>
  <c r="T64" i="3"/>
  <c r="T78" i="3"/>
  <c r="Q106" i="6"/>
  <c r="T106" i="6" s="1"/>
  <c r="P106" i="6"/>
  <c r="R106" i="6" s="1"/>
  <c r="O106" i="6"/>
  <c r="N106" i="6"/>
  <c r="M106" i="6"/>
  <c r="L106" i="6"/>
  <c r="I106" i="6"/>
  <c r="H106" i="6"/>
  <c r="J106" i="6" s="1"/>
  <c r="G106" i="6"/>
  <c r="F106" i="6"/>
  <c r="E106" i="6"/>
  <c r="D106" i="6"/>
  <c r="Q105" i="6"/>
  <c r="T105" i="6" s="1"/>
  <c r="P105" i="6"/>
  <c r="R105" i="6" s="1"/>
  <c r="O105" i="6"/>
  <c r="N105" i="6"/>
  <c r="M105" i="6"/>
  <c r="L105" i="6"/>
  <c r="I105" i="6"/>
  <c r="H105" i="6"/>
  <c r="J105" i="6" s="1"/>
  <c r="G105" i="6"/>
  <c r="F105" i="6"/>
  <c r="E105" i="6"/>
  <c r="D105" i="6"/>
  <c r="Q104" i="6"/>
  <c r="T104" i="6" s="1"/>
  <c r="P104" i="6"/>
  <c r="R104" i="6" s="1"/>
  <c r="O104" i="6"/>
  <c r="N104" i="6"/>
  <c r="M104" i="6"/>
  <c r="L104" i="6"/>
  <c r="I104" i="6"/>
  <c r="H104" i="6"/>
  <c r="J104" i="6" s="1"/>
  <c r="G104" i="6"/>
  <c r="F104" i="6"/>
  <c r="E104" i="6"/>
  <c r="D104" i="6"/>
  <c r="R103" i="6"/>
  <c r="Q103" i="6"/>
  <c r="P103" i="6"/>
  <c r="O103" i="6"/>
  <c r="N103" i="6"/>
  <c r="M103" i="6"/>
  <c r="L103" i="6"/>
  <c r="I103" i="6"/>
  <c r="H103" i="6"/>
  <c r="J103" i="6" s="1"/>
  <c r="G103" i="6"/>
  <c r="F103" i="6"/>
  <c r="E103" i="6"/>
  <c r="D103" i="6"/>
  <c r="R102" i="6"/>
  <c r="Q102" i="6"/>
  <c r="P102" i="6"/>
  <c r="O102" i="6"/>
  <c r="N102" i="6"/>
  <c r="M102" i="6"/>
  <c r="L102" i="6"/>
  <c r="J102" i="6"/>
  <c r="I102" i="6"/>
  <c r="H102" i="6"/>
  <c r="S102" i="6" s="1"/>
  <c r="G102" i="6"/>
  <c r="F102" i="6"/>
  <c r="E102" i="6"/>
  <c r="D102" i="6"/>
  <c r="Q101" i="6"/>
  <c r="T101" i="6" s="1"/>
  <c r="P101" i="6"/>
  <c r="R101" i="6" s="1"/>
  <c r="O101" i="6"/>
  <c r="N101" i="6"/>
  <c r="M101" i="6"/>
  <c r="L101" i="6"/>
  <c r="I101" i="6"/>
  <c r="H101" i="6"/>
  <c r="G101" i="6"/>
  <c r="F101" i="6"/>
  <c r="E101" i="6"/>
  <c r="D101" i="6"/>
  <c r="R100" i="6"/>
  <c r="Q100" i="6"/>
  <c r="P100" i="6"/>
  <c r="O100" i="6"/>
  <c r="N100" i="6"/>
  <c r="M100" i="6"/>
  <c r="L100" i="6"/>
  <c r="I100" i="6"/>
  <c r="H100" i="6"/>
  <c r="J100" i="6" s="1"/>
  <c r="G100" i="6"/>
  <c r="F100" i="6"/>
  <c r="E100" i="6"/>
  <c r="D100" i="6"/>
  <c r="Q99" i="6"/>
  <c r="P99" i="6"/>
  <c r="R99" i="6" s="1"/>
  <c r="O99" i="6"/>
  <c r="N99" i="6"/>
  <c r="M99" i="6"/>
  <c r="L99" i="6"/>
  <c r="I99" i="6"/>
  <c r="H99" i="6"/>
  <c r="J99" i="6" s="1"/>
  <c r="G99" i="6"/>
  <c r="F99" i="6"/>
  <c r="E99" i="6"/>
  <c r="D99" i="6"/>
  <c r="Q98" i="6"/>
  <c r="P98" i="6"/>
  <c r="R98" i="6" s="1"/>
  <c r="O98" i="6"/>
  <c r="N98" i="6"/>
  <c r="M98" i="6"/>
  <c r="L98" i="6"/>
  <c r="I98" i="6"/>
  <c r="H98" i="6"/>
  <c r="J98" i="6" s="1"/>
  <c r="G98" i="6"/>
  <c r="F98" i="6"/>
  <c r="E98" i="6"/>
  <c r="D98" i="6"/>
  <c r="Q97" i="6"/>
  <c r="P97" i="6"/>
  <c r="R97" i="6" s="1"/>
  <c r="O97" i="6"/>
  <c r="N97" i="6"/>
  <c r="M97" i="6"/>
  <c r="L97" i="6"/>
  <c r="I97" i="6"/>
  <c r="H97" i="6"/>
  <c r="J97" i="6" s="1"/>
  <c r="G97" i="6"/>
  <c r="F97" i="6"/>
  <c r="E97" i="6"/>
  <c r="D97" i="6"/>
  <c r="Q96" i="6"/>
  <c r="P96" i="6"/>
  <c r="R96" i="6" s="1"/>
  <c r="O96" i="6"/>
  <c r="N96" i="6"/>
  <c r="M96" i="6"/>
  <c r="L96" i="6"/>
  <c r="I96" i="6"/>
  <c r="H96" i="6"/>
  <c r="J96" i="6" s="1"/>
  <c r="G96" i="6"/>
  <c r="F96" i="6"/>
  <c r="E96" i="6"/>
  <c r="D96" i="6"/>
  <c r="Q95" i="6"/>
  <c r="P95" i="6"/>
  <c r="R95" i="6" s="1"/>
  <c r="O95" i="6"/>
  <c r="N95" i="6"/>
  <c r="M95" i="6"/>
  <c r="L95" i="6"/>
  <c r="I95" i="6"/>
  <c r="H95" i="6"/>
  <c r="J95" i="6" s="1"/>
  <c r="G95" i="6"/>
  <c r="F95" i="6"/>
  <c r="E95" i="6"/>
  <c r="D95" i="6"/>
  <c r="Q94" i="6"/>
  <c r="T94" i="6" s="1"/>
  <c r="P94" i="6"/>
  <c r="R94" i="6" s="1"/>
  <c r="O94" i="6"/>
  <c r="N94" i="6"/>
  <c r="M94" i="6"/>
  <c r="L94" i="6"/>
  <c r="I94" i="6"/>
  <c r="H94" i="6"/>
  <c r="G94" i="6"/>
  <c r="F94" i="6"/>
  <c r="E94" i="6"/>
  <c r="D94" i="6"/>
  <c r="R93" i="6"/>
  <c r="Q93" i="6"/>
  <c r="P93" i="6"/>
  <c r="O93" i="6"/>
  <c r="N93" i="6"/>
  <c r="M93" i="6"/>
  <c r="L93" i="6"/>
  <c r="J93" i="6"/>
  <c r="I93" i="6"/>
  <c r="H93" i="6"/>
  <c r="S93" i="6" s="1"/>
  <c r="G93" i="6"/>
  <c r="F93" i="6"/>
  <c r="E93" i="6"/>
  <c r="D93" i="6"/>
  <c r="Q92" i="6"/>
  <c r="T92" i="6" s="1"/>
  <c r="P92" i="6"/>
  <c r="S92" i="6" s="1"/>
  <c r="O92" i="6"/>
  <c r="N92" i="6"/>
  <c r="M92" i="6"/>
  <c r="L92" i="6"/>
  <c r="I92" i="6"/>
  <c r="H92" i="6"/>
  <c r="J92" i="6" s="1"/>
  <c r="G92" i="6"/>
  <c r="F92" i="6"/>
  <c r="E92" i="6"/>
  <c r="D92" i="6"/>
  <c r="Q91" i="6"/>
  <c r="P91" i="6"/>
  <c r="R91" i="6" s="1"/>
  <c r="O91" i="6"/>
  <c r="N91" i="6"/>
  <c r="M91" i="6"/>
  <c r="L91" i="6"/>
  <c r="I91" i="6"/>
  <c r="H91" i="6"/>
  <c r="J91" i="6" s="1"/>
  <c r="G91" i="6"/>
  <c r="F91" i="6"/>
  <c r="E91" i="6"/>
  <c r="D91" i="6"/>
  <c r="Q90" i="6"/>
  <c r="T90" i="6" s="1"/>
  <c r="P90" i="6"/>
  <c r="R90" i="6" s="1"/>
  <c r="O90" i="6"/>
  <c r="N90" i="6"/>
  <c r="M90" i="6"/>
  <c r="L90" i="6"/>
  <c r="I90" i="6"/>
  <c r="H90" i="6"/>
  <c r="J90" i="6" s="1"/>
  <c r="G90" i="6"/>
  <c r="F90" i="6"/>
  <c r="E90" i="6"/>
  <c r="D90" i="6"/>
  <c r="Q89" i="6"/>
  <c r="T89" i="6" s="1"/>
  <c r="P89" i="6"/>
  <c r="R89" i="6" s="1"/>
  <c r="O89" i="6"/>
  <c r="N89" i="6"/>
  <c r="M89" i="6"/>
  <c r="L89" i="6"/>
  <c r="I89" i="6"/>
  <c r="H89" i="6"/>
  <c r="J89" i="6" s="1"/>
  <c r="G89" i="6"/>
  <c r="F89" i="6"/>
  <c r="E89" i="6"/>
  <c r="D89" i="6"/>
  <c r="Q88" i="6"/>
  <c r="T88" i="6" s="1"/>
  <c r="P88" i="6"/>
  <c r="R88" i="6" s="1"/>
  <c r="O88" i="6"/>
  <c r="N88" i="6"/>
  <c r="M88" i="6"/>
  <c r="L88" i="6"/>
  <c r="I88" i="6"/>
  <c r="H88" i="6"/>
  <c r="J88" i="6" s="1"/>
  <c r="G88" i="6"/>
  <c r="F88" i="6"/>
  <c r="E88" i="6"/>
  <c r="D88" i="6"/>
  <c r="R87" i="6"/>
  <c r="Q87" i="6"/>
  <c r="T87" i="6" s="1"/>
  <c r="P87" i="6"/>
  <c r="O87" i="6"/>
  <c r="N87" i="6"/>
  <c r="M87" i="6"/>
  <c r="L87" i="6"/>
  <c r="I87" i="6"/>
  <c r="H87" i="6"/>
  <c r="J87" i="6" s="1"/>
  <c r="G87" i="6"/>
  <c r="F87" i="6"/>
  <c r="E87" i="6"/>
  <c r="D87" i="6"/>
  <c r="R86" i="6"/>
  <c r="Q86" i="6"/>
  <c r="P86" i="6"/>
  <c r="O86" i="6"/>
  <c r="N86" i="6"/>
  <c r="M86" i="6"/>
  <c r="L86" i="6"/>
  <c r="J86" i="6"/>
  <c r="I86" i="6"/>
  <c r="H86" i="6"/>
  <c r="S86" i="6" s="1"/>
  <c r="G86" i="6"/>
  <c r="F86" i="6"/>
  <c r="E86" i="6"/>
  <c r="D86" i="6"/>
  <c r="Q85" i="6"/>
  <c r="T85" i="6" s="1"/>
  <c r="P85" i="6"/>
  <c r="R85" i="6" s="1"/>
  <c r="O85" i="6"/>
  <c r="N85" i="6"/>
  <c r="M85" i="6"/>
  <c r="L85" i="6"/>
  <c r="I85" i="6"/>
  <c r="H85" i="6"/>
  <c r="G85" i="6"/>
  <c r="F85" i="6"/>
  <c r="E85" i="6"/>
  <c r="D85" i="6"/>
  <c r="R84" i="6"/>
  <c r="Q84" i="6"/>
  <c r="P84" i="6"/>
  <c r="O84" i="6"/>
  <c r="N84" i="6"/>
  <c r="M84" i="6"/>
  <c r="L84" i="6"/>
  <c r="I84" i="6"/>
  <c r="H84" i="6"/>
  <c r="J84" i="6" s="1"/>
  <c r="G84" i="6"/>
  <c r="F84" i="6"/>
  <c r="E84" i="6"/>
  <c r="D84" i="6"/>
  <c r="Q83" i="6"/>
  <c r="P83" i="6"/>
  <c r="R83" i="6" s="1"/>
  <c r="O83" i="6"/>
  <c r="N83" i="6"/>
  <c r="M83" i="6"/>
  <c r="L83" i="6"/>
  <c r="I83" i="6"/>
  <c r="H83" i="6"/>
  <c r="J83" i="6" s="1"/>
  <c r="G83" i="6"/>
  <c r="F83" i="6"/>
  <c r="E83" i="6"/>
  <c r="D83" i="6"/>
  <c r="Q82" i="6"/>
  <c r="P82" i="6"/>
  <c r="R82" i="6" s="1"/>
  <c r="O82" i="6"/>
  <c r="N82" i="6"/>
  <c r="M82" i="6"/>
  <c r="L82" i="6"/>
  <c r="I82" i="6"/>
  <c r="H82" i="6"/>
  <c r="J82" i="6" s="1"/>
  <c r="G82" i="6"/>
  <c r="F82" i="6"/>
  <c r="E82" i="6"/>
  <c r="D82" i="6"/>
  <c r="Q81" i="6"/>
  <c r="P81" i="6"/>
  <c r="R81" i="6" s="1"/>
  <c r="O81" i="6"/>
  <c r="N81" i="6"/>
  <c r="M81" i="6"/>
  <c r="L81" i="6"/>
  <c r="I81" i="6"/>
  <c r="H81" i="6"/>
  <c r="J81" i="6" s="1"/>
  <c r="G81" i="6"/>
  <c r="F81" i="6"/>
  <c r="E81" i="6"/>
  <c r="D81" i="6"/>
  <c r="Q80" i="6"/>
  <c r="P80" i="6"/>
  <c r="R80" i="6" s="1"/>
  <c r="O80" i="6"/>
  <c r="N80" i="6"/>
  <c r="M80" i="6"/>
  <c r="L80" i="6"/>
  <c r="I80" i="6"/>
  <c r="H80" i="6"/>
  <c r="J80" i="6" s="1"/>
  <c r="G80" i="6"/>
  <c r="F80" i="6"/>
  <c r="E80" i="6"/>
  <c r="D80" i="6"/>
  <c r="Q79" i="6"/>
  <c r="P79" i="6"/>
  <c r="R79" i="6" s="1"/>
  <c r="O79" i="6"/>
  <c r="N79" i="6"/>
  <c r="M79" i="6"/>
  <c r="L79" i="6"/>
  <c r="I79" i="6"/>
  <c r="I112" i="6" s="1"/>
  <c r="H79" i="6"/>
  <c r="J79" i="6" s="1"/>
  <c r="G79" i="6"/>
  <c r="F79" i="6"/>
  <c r="E79" i="6"/>
  <c r="D79" i="6"/>
  <c r="S78" i="6"/>
  <c r="R78" i="6"/>
  <c r="T78" i="6"/>
  <c r="J78" i="6"/>
  <c r="S77" i="6"/>
  <c r="R77" i="6"/>
  <c r="T77" i="6"/>
  <c r="J77" i="6"/>
  <c r="S76" i="6"/>
  <c r="R76" i="6"/>
  <c r="T76" i="6"/>
  <c r="J76" i="6"/>
  <c r="T75" i="6"/>
  <c r="R75" i="6"/>
  <c r="J75" i="6"/>
  <c r="T74" i="6"/>
  <c r="R74" i="6"/>
  <c r="J74" i="6"/>
  <c r="T73" i="6"/>
  <c r="R73" i="6"/>
  <c r="J73" i="6"/>
  <c r="T72" i="6"/>
  <c r="R72" i="6"/>
  <c r="J72" i="6"/>
  <c r="S71" i="6"/>
  <c r="R71" i="6"/>
  <c r="T71" i="6"/>
  <c r="J71" i="6"/>
  <c r="S70" i="6"/>
  <c r="R70" i="6"/>
  <c r="T70" i="6"/>
  <c r="J70" i="6"/>
  <c r="S69" i="6"/>
  <c r="R69" i="6"/>
  <c r="T69" i="6"/>
  <c r="J69" i="6"/>
  <c r="S68" i="6"/>
  <c r="R68" i="6"/>
  <c r="T68" i="6"/>
  <c r="J68" i="6"/>
  <c r="T67" i="6"/>
  <c r="R67" i="6"/>
  <c r="J67" i="6"/>
  <c r="T66" i="6"/>
  <c r="R66" i="6"/>
  <c r="S66" i="6"/>
  <c r="C66" i="6"/>
  <c r="R65" i="6"/>
  <c r="T65" i="6"/>
  <c r="J65" i="6"/>
  <c r="C65" i="6"/>
  <c r="R64" i="6"/>
  <c r="T64" i="6"/>
  <c r="S64" i="6"/>
  <c r="C64" i="6"/>
  <c r="R63" i="6"/>
  <c r="Q111" i="6"/>
  <c r="I111" i="6"/>
  <c r="J63" i="6"/>
  <c r="C63" i="6"/>
  <c r="Q62" i="6"/>
  <c r="P62" i="6"/>
  <c r="R62" i="6" s="1"/>
  <c r="O62" i="6"/>
  <c r="N62" i="6"/>
  <c r="M62" i="6"/>
  <c r="L62" i="6"/>
  <c r="I62" i="6"/>
  <c r="H62" i="6"/>
  <c r="G62" i="6"/>
  <c r="F62" i="6"/>
  <c r="E62" i="6"/>
  <c r="D62" i="6"/>
  <c r="Q61" i="6"/>
  <c r="P61" i="6"/>
  <c r="R61" i="6" s="1"/>
  <c r="O61" i="6"/>
  <c r="N61" i="6"/>
  <c r="M61" i="6"/>
  <c r="L61" i="6"/>
  <c r="J61" i="6"/>
  <c r="I61" i="6"/>
  <c r="H61" i="6"/>
  <c r="G61" i="6"/>
  <c r="F61" i="6"/>
  <c r="E61" i="6"/>
  <c r="D61" i="6"/>
  <c r="Q60" i="6"/>
  <c r="P60" i="6"/>
  <c r="S60" i="6" s="1"/>
  <c r="O60" i="6"/>
  <c r="N60" i="6"/>
  <c r="M60" i="6"/>
  <c r="L60" i="6"/>
  <c r="I60" i="6"/>
  <c r="H60" i="6"/>
  <c r="J60" i="6" s="1"/>
  <c r="G60" i="6"/>
  <c r="F60" i="6"/>
  <c r="E60" i="6"/>
  <c r="D60" i="6"/>
  <c r="Q59" i="6"/>
  <c r="T59" i="6" s="1"/>
  <c r="P59" i="6"/>
  <c r="R59" i="6" s="1"/>
  <c r="O59" i="6"/>
  <c r="N59" i="6"/>
  <c r="M59" i="6"/>
  <c r="L59" i="6"/>
  <c r="I59" i="6"/>
  <c r="H59" i="6"/>
  <c r="G59" i="6"/>
  <c r="F59" i="6"/>
  <c r="E59" i="6"/>
  <c r="D59" i="6"/>
  <c r="Q58" i="6"/>
  <c r="T58" i="6" s="1"/>
  <c r="P58" i="6"/>
  <c r="R58" i="6" s="1"/>
  <c r="O58" i="6"/>
  <c r="N58" i="6"/>
  <c r="M58" i="6"/>
  <c r="L58" i="6"/>
  <c r="I58" i="6"/>
  <c r="H58" i="6"/>
  <c r="J58" i="6" s="1"/>
  <c r="G58" i="6"/>
  <c r="F58" i="6"/>
  <c r="E58" i="6"/>
  <c r="D58" i="6"/>
  <c r="T57" i="6"/>
  <c r="Q57" i="6"/>
  <c r="P57" i="6"/>
  <c r="R57" i="6" s="1"/>
  <c r="O57" i="6"/>
  <c r="N57" i="6"/>
  <c r="M57" i="6"/>
  <c r="L57" i="6"/>
  <c r="I57" i="6"/>
  <c r="H57" i="6"/>
  <c r="J57" i="6" s="1"/>
  <c r="G57" i="6"/>
  <c r="F57" i="6"/>
  <c r="E57" i="6"/>
  <c r="D57" i="6"/>
  <c r="S56" i="6"/>
  <c r="Q56" i="6"/>
  <c r="P56" i="6"/>
  <c r="R56" i="6" s="1"/>
  <c r="O56" i="6"/>
  <c r="N56" i="6"/>
  <c r="M56" i="6"/>
  <c r="L56" i="6"/>
  <c r="J56" i="6"/>
  <c r="I56" i="6"/>
  <c r="H56" i="6"/>
  <c r="G56" i="6"/>
  <c r="F56" i="6"/>
  <c r="E56" i="6"/>
  <c r="D56" i="6"/>
  <c r="Q55" i="6"/>
  <c r="P55" i="6"/>
  <c r="S55" i="6" s="1"/>
  <c r="O55" i="6"/>
  <c r="N55" i="6"/>
  <c r="M55" i="6"/>
  <c r="L55" i="6"/>
  <c r="I55" i="6"/>
  <c r="H55" i="6"/>
  <c r="J55" i="6" s="1"/>
  <c r="G55" i="6"/>
  <c r="F55" i="6"/>
  <c r="E55" i="6"/>
  <c r="D55" i="6"/>
  <c r="Q54" i="6"/>
  <c r="P54" i="6"/>
  <c r="S54" i="6" s="1"/>
  <c r="O54" i="6"/>
  <c r="N54" i="6"/>
  <c r="M54" i="6"/>
  <c r="L54" i="6"/>
  <c r="I54" i="6"/>
  <c r="H54" i="6"/>
  <c r="J54" i="6" s="1"/>
  <c r="G54" i="6"/>
  <c r="F54" i="6"/>
  <c r="E54" i="6"/>
  <c r="D54" i="6"/>
  <c r="Q53" i="6"/>
  <c r="P53" i="6"/>
  <c r="S53" i="6" s="1"/>
  <c r="O53" i="6"/>
  <c r="N53" i="6"/>
  <c r="M53" i="6"/>
  <c r="L53" i="6"/>
  <c r="I53" i="6"/>
  <c r="H53" i="6"/>
  <c r="J53" i="6" s="1"/>
  <c r="G53" i="6"/>
  <c r="F53" i="6"/>
  <c r="E53" i="6"/>
  <c r="D53" i="6"/>
  <c r="Q52" i="6"/>
  <c r="P52" i="6"/>
  <c r="S52" i="6" s="1"/>
  <c r="O52" i="6"/>
  <c r="N52" i="6"/>
  <c r="M52" i="6"/>
  <c r="L52" i="6"/>
  <c r="I52" i="6"/>
  <c r="H52" i="6"/>
  <c r="J52" i="6" s="1"/>
  <c r="G52" i="6"/>
  <c r="F52" i="6"/>
  <c r="E52" i="6"/>
  <c r="D52" i="6"/>
  <c r="Q51" i="6"/>
  <c r="P51" i="6"/>
  <c r="S51" i="6" s="1"/>
  <c r="O51" i="6"/>
  <c r="N51" i="6"/>
  <c r="M51" i="6"/>
  <c r="L51" i="6"/>
  <c r="J51" i="6"/>
  <c r="I51" i="6"/>
  <c r="H51" i="6"/>
  <c r="G51" i="6"/>
  <c r="F51" i="6"/>
  <c r="E51" i="6"/>
  <c r="D51" i="6"/>
  <c r="S50" i="6"/>
  <c r="Q50" i="6"/>
  <c r="P50" i="6"/>
  <c r="R50" i="6" s="1"/>
  <c r="O50" i="6"/>
  <c r="N50" i="6"/>
  <c r="M50" i="6"/>
  <c r="L50" i="6"/>
  <c r="I50" i="6"/>
  <c r="H50" i="6"/>
  <c r="J50" i="6" s="1"/>
  <c r="G50" i="6"/>
  <c r="F50" i="6"/>
  <c r="E50" i="6"/>
  <c r="D50" i="6"/>
  <c r="Q49" i="6"/>
  <c r="P49" i="6"/>
  <c r="S49" i="6" s="1"/>
  <c r="O49" i="6"/>
  <c r="N49" i="6"/>
  <c r="M49" i="6"/>
  <c r="L49" i="6"/>
  <c r="J49" i="6"/>
  <c r="I49" i="6"/>
  <c r="H49" i="6"/>
  <c r="G49" i="6"/>
  <c r="F49" i="6"/>
  <c r="E49" i="6"/>
  <c r="D49" i="6"/>
  <c r="R48" i="6"/>
  <c r="Q48" i="6"/>
  <c r="P48" i="6"/>
  <c r="O48" i="6"/>
  <c r="N48" i="6"/>
  <c r="M48" i="6"/>
  <c r="L48" i="6"/>
  <c r="I48" i="6"/>
  <c r="H48" i="6"/>
  <c r="S48" i="6" s="1"/>
  <c r="G48" i="6"/>
  <c r="F48" i="6"/>
  <c r="E48" i="6"/>
  <c r="D48" i="6"/>
  <c r="Q47" i="6"/>
  <c r="P47" i="6"/>
  <c r="O47" i="6"/>
  <c r="N47" i="6"/>
  <c r="M47" i="6"/>
  <c r="L47" i="6"/>
  <c r="I47" i="6"/>
  <c r="H47" i="6"/>
  <c r="J47" i="6" s="1"/>
  <c r="G47" i="6"/>
  <c r="F47" i="6"/>
  <c r="E47" i="6"/>
  <c r="D47" i="6"/>
  <c r="Q46" i="6"/>
  <c r="P46" i="6"/>
  <c r="O46" i="6"/>
  <c r="N46" i="6"/>
  <c r="M46" i="6"/>
  <c r="L46" i="6"/>
  <c r="I46" i="6"/>
  <c r="H46" i="6"/>
  <c r="J46" i="6" s="1"/>
  <c r="G46" i="6"/>
  <c r="F46" i="6"/>
  <c r="E46" i="6"/>
  <c r="D46" i="6"/>
  <c r="Q45" i="6"/>
  <c r="P45" i="6"/>
  <c r="O45" i="6"/>
  <c r="N45" i="6"/>
  <c r="M45" i="6"/>
  <c r="L45" i="6"/>
  <c r="I45" i="6"/>
  <c r="H45" i="6"/>
  <c r="J45" i="6" s="1"/>
  <c r="G45" i="6"/>
  <c r="F45" i="6"/>
  <c r="E45" i="6"/>
  <c r="D45" i="6"/>
  <c r="Q44" i="6"/>
  <c r="P44" i="6"/>
  <c r="O44" i="6"/>
  <c r="N44" i="6"/>
  <c r="M44" i="6"/>
  <c r="L44" i="6"/>
  <c r="I44" i="6"/>
  <c r="H44" i="6"/>
  <c r="J44" i="6" s="1"/>
  <c r="G44" i="6"/>
  <c r="F44" i="6"/>
  <c r="E44" i="6"/>
  <c r="D44" i="6"/>
  <c r="Q43" i="6"/>
  <c r="P43" i="6"/>
  <c r="R43" i="6" s="1"/>
  <c r="O43" i="6"/>
  <c r="N43" i="6"/>
  <c r="M43" i="6"/>
  <c r="L43" i="6"/>
  <c r="J43" i="6"/>
  <c r="I43" i="6"/>
  <c r="T43" i="6" s="1"/>
  <c r="H43" i="6"/>
  <c r="G43" i="6"/>
  <c r="F43" i="6"/>
  <c r="E43" i="6"/>
  <c r="D43" i="6"/>
  <c r="Q42" i="6"/>
  <c r="P42" i="6"/>
  <c r="S42" i="6" s="1"/>
  <c r="O42" i="6"/>
  <c r="N42" i="6"/>
  <c r="M42" i="6"/>
  <c r="L42" i="6"/>
  <c r="J42" i="6"/>
  <c r="I42" i="6"/>
  <c r="H42" i="6"/>
  <c r="G42" i="6"/>
  <c r="F42" i="6"/>
  <c r="E42" i="6"/>
  <c r="D42" i="6"/>
  <c r="Q41" i="6"/>
  <c r="P41" i="6"/>
  <c r="S41" i="6" s="1"/>
  <c r="O41" i="6"/>
  <c r="N41" i="6"/>
  <c r="M41" i="6"/>
  <c r="L41" i="6"/>
  <c r="I41" i="6"/>
  <c r="H41" i="6"/>
  <c r="J41" i="6" s="1"/>
  <c r="G41" i="6"/>
  <c r="F41" i="6"/>
  <c r="E41" i="6"/>
  <c r="D41" i="6"/>
  <c r="S40" i="6"/>
  <c r="R40" i="6"/>
  <c r="Q40" i="6"/>
  <c r="P40" i="6"/>
  <c r="O40" i="6"/>
  <c r="N40" i="6"/>
  <c r="M40" i="6"/>
  <c r="L40" i="6"/>
  <c r="J40" i="6"/>
  <c r="I40" i="6"/>
  <c r="H40" i="6"/>
  <c r="G40" i="6"/>
  <c r="F40" i="6"/>
  <c r="E40" i="6"/>
  <c r="D40" i="6"/>
  <c r="Q39" i="6"/>
  <c r="P39" i="6"/>
  <c r="O39" i="6"/>
  <c r="N39" i="6"/>
  <c r="M39" i="6"/>
  <c r="L39" i="6"/>
  <c r="I39" i="6"/>
  <c r="H39" i="6"/>
  <c r="J39" i="6" s="1"/>
  <c r="G39" i="6"/>
  <c r="F39" i="6"/>
  <c r="E39" i="6"/>
  <c r="D39" i="6"/>
  <c r="Q38" i="6"/>
  <c r="P38" i="6"/>
  <c r="O38" i="6"/>
  <c r="N38" i="6"/>
  <c r="M38" i="6"/>
  <c r="L38" i="6"/>
  <c r="I38" i="6"/>
  <c r="H38" i="6"/>
  <c r="J38" i="6" s="1"/>
  <c r="G38" i="6"/>
  <c r="F38" i="6"/>
  <c r="E38" i="6"/>
  <c r="D38" i="6"/>
  <c r="Q37" i="6"/>
  <c r="P37" i="6"/>
  <c r="O37" i="6"/>
  <c r="N37" i="6"/>
  <c r="M37" i="6"/>
  <c r="L37" i="6"/>
  <c r="I37" i="6"/>
  <c r="H37" i="6"/>
  <c r="J37" i="6" s="1"/>
  <c r="G37" i="6"/>
  <c r="F37" i="6"/>
  <c r="E37" i="6"/>
  <c r="D37" i="6"/>
  <c r="Q36" i="6"/>
  <c r="P36" i="6"/>
  <c r="O36" i="6"/>
  <c r="N36" i="6"/>
  <c r="M36" i="6"/>
  <c r="L36" i="6"/>
  <c r="I36" i="6"/>
  <c r="H36" i="6"/>
  <c r="J36" i="6" s="1"/>
  <c r="G36" i="6"/>
  <c r="F36" i="6"/>
  <c r="E36" i="6"/>
  <c r="D36" i="6"/>
  <c r="Q35" i="6"/>
  <c r="P35" i="6"/>
  <c r="R35" i="6" s="1"/>
  <c r="O35" i="6"/>
  <c r="N35" i="6"/>
  <c r="M35" i="6"/>
  <c r="L35" i="6"/>
  <c r="J35" i="6"/>
  <c r="I35" i="6"/>
  <c r="T35" i="6" s="1"/>
  <c r="H35" i="6"/>
  <c r="G35" i="6"/>
  <c r="F35" i="6"/>
  <c r="E35" i="6"/>
  <c r="D35" i="6"/>
  <c r="Q34" i="6"/>
  <c r="P34" i="6"/>
  <c r="O34" i="6"/>
  <c r="N34" i="6"/>
  <c r="M34" i="6"/>
  <c r="L34" i="6"/>
  <c r="I34" i="6"/>
  <c r="H34" i="6"/>
  <c r="J34" i="6" s="1"/>
  <c r="G34" i="6"/>
  <c r="F34" i="6"/>
  <c r="E34" i="6"/>
  <c r="D34" i="6"/>
  <c r="Q33" i="6"/>
  <c r="P33" i="6"/>
  <c r="O33" i="6"/>
  <c r="N33" i="6"/>
  <c r="M33" i="6"/>
  <c r="L33" i="6"/>
  <c r="I33" i="6"/>
  <c r="H33" i="6"/>
  <c r="J33" i="6" s="1"/>
  <c r="G33" i="6"/>
  <c r="F33" i="6"/>
  <c r="E33" i="6"/>
  <c r="D33" i="6"/>
  <c r="Q32" i="6"/>
  <c r="P32" i="6"/>
  <c r="O32" i="6"/>
  <c r="N32" i="6"/>
  <c r="M32" i="6"/>
  <c r="L32" i="6"/>
  <c r="J32" i="6"/>
  <c r="I32" i="6"/>
  <c r="H32" i="6"/>
  <c r="G32" i="6"/>
  <c r="F32" i="6"/>
  <c r="E32" i="6"/>
  <c r="D32" i="6"/>
  <c r="Q31" i="6"/>
  <c r="P31" i="6"/>
  <c r="O31" i="6"/>
  <c r="N31" i="6"/>
  <c r="M31" i="6"/>
  <c r="L31" i="6"/>
  <c r="I31" i="6"/>
  <c r="H31" i="6"/>
  <c r="J31" i="6" s="1"/>
  <c r="G31" i="6"/>
  <c r="F31" i="6"/>
  <c r="E31" i="6"/>
  <c r="D31" i="6"/>
  <c r="T30" i="6"/>
  <c r="Q30" i="6"/>
  <c r="P30" i="6"/>
  <c r="O30" i="6"/>
  <c r="N30" i="6"/>
  <c r="M30" i="6"/>
  <c r="L30" i="6"/>
  <c r="I30" i="6"/>
  <c r="H30" i="6"/>
  <c r="J30" i="6" s="1"/>
  <c r="G30" i="6"/>
  <c r="F30" i="6"/>
  <c r="E30" i="6"/>
  <c r="D30" i="6"/>
  <c r="Q29" i="6"/>
  <c r="P29" i="6"/>
  <c r="O29" i="6"/>
  <c r="N29" i="6"/>
  <c r="M29" i="6"/>
  <c r="L29" i="6"/>
  <c r="I29" i="6"/>
  <c r="H29" i="6"/>
  <c r="J29" i="6" s="1"/>
  <c r="G29" i="6"/>
  <c r="F29" i="6"/>
  <c r="E29" i="6"/>
  <c r="D29" i="6"/>
  <c r="Q28" i="6"/>
  <c r="P28" i="6"/>
  <c r="O28" i="6"/>
  <c r="N28" i="6"/>
  <c r="M28" i="6"/>
  <c r="L28" i="6"/>
  <c r="I28" i="6"/>
  <c r="H28" i="6"/>
  <c r="J28" i="6" s="1"/>
  <c r="G28" i="6"/>
  <c r="F28" i="6"/>
  <c r="E28" i="6"/>
  <c r="D28" i="6"/>
  <c r="Q27" i="6"/>
  <c r="P27" i="6"/>
  <c r="R27" i="6" s="1"/>
  <c r="O27" i="6"/>
  <c r="N27" i="6"/>
  <c r="M27" i="6"/>
  <c r="L27" i="6"/>
  <c r="I27" i="6"/>
  <c r="H27" i="6"/>
  <c r="J27" i="6" s="1"/>
  <c r="G27" i="6"/>
  <c r="F27" i="6"/>
  <c r="E27" i="6"/>
  <c r="D27" i="6"/>
  <c r="Q106" i="5"/>
  <c r="P106" i="5"/>
  <c r="R106" i="5" s="1"/>
  <c r="O106" i="5"/>
  <c r="N106" i="5"/>
  <c r="M106" i="5"/>
  <c r="L106" i="5"/>
  <c r="I106" i="5"/>
  <c r="H106" i="5"/>
  <c r="J106" i="5" s="1"/>
  <c r="G106" i="5"/>
  <c r="F106" i="5"/>
  <c r="E106" i="5"/>
  <c r="D106" i="5"/>
  <c r="Q105" i="5"/>
  <c r="P105" i="5"/>
  <c r="O105" i="5"/>
  <c r="N105" i="5"/>
  <c r="M105" i="5"/>
  <c r="L105" i="5"/>
  <c r="I105" i="5"/>
  <c r="H105" i="5"/>
  <c r="J105" i="5" s="1"/>
  <c r="G105" i="5"/>
  <c r="F105" i="5"/>
  <c r="E105" i="5"/>
  <c r="D105" i="5"/>
  <c r="Q104" i="5"/>
  <c r="P104" i="5"/>
  <c r="R104" i="5" s="1"/>
  <c r="O104" i="5"/>
  <c r="N104" i="5"/>
  <c r="M104" i="5"/>
  <c r="L104" i="5"/>
  <c r="I104" i="5"/>
  <c r="T104" i="5" s="1"/>
  <c r="H104" i="5"/>
  <c r="J104" i="5" s="1"/>
  <c r="G104" i="5"/>
  <c r="F104" i="5"/>
  <c r="E104" i="5"/>
  <c r="D104" i="5"/>
  <c r="Q103" i="5"/>
  <c r="P103" i="5"/>
  <c r="S103" i="5" s="1"/>
  <c r="O103" i="5"/>
  <c r="N103" i="5"/>
  <c r="M103" i="5"/>
  <c r="L103" i="5"/>
  <c r="J103" i="5"/>
  <c r="I103" i="5"/>
  <c r="H103" i="5"/>
  <c r="G103" i="5"/>
  <c r="F103" i="5"/>
  <c r="E103" i="5"/>
  <c r="D103" i="5"/>
  <c r="T102" i="5"/>
  <c r="Q102" i="5"/>
  <c r="P102" i="5"/>
  <c r="O102" i="5"/>
  <c r="N102" i="5"/>
  <c r="M102" i="5"/>
  <c r="L102" i="5"/>
  <c r="I102" i="5"/>
  <c r="H102" i="5"/>
  <c r="J102" i="5" s="1"/>
  <c r="G102" i="5"/>
  <c r="F102" i="5"/>
  <c r="E102" i="5"/>
  <c r="D102" i="5"/>
  <c r="Q101" i="5"/>
  <c r="P101" i="5"/>
  <c r="O101" i="5"/>
  <c r="N101" i="5"/>
  <c r="M101" i="5"/>
  <c r="L101" i="5"/>
  <c r="I101" i="5"/>
  <c r="T101" i="5" s="1"/>
  <c r="H101" i="5"/>
  <c r="J101" i="5" s="1"/>
  <c r="G101" i="5"/>
  <c r="F101" i="5"/>
  <c r="E101" i="5"/>
  <c r="D101" i="5"/>
  <c r="Q100" i="5"/>
  <c r="P100" i="5"/>
  <c r="O100" i="5"/>
  <c r="N100" i="5"/>
  <c r="M100" i="5"/>
  <c r="L100" i="5"/>
  <c r="J100" i="5"/>
  <c r="I100" i="5"/>
  <c r="T100" i="5" s="1"/>
  <c r="H100" i="5"/>
  <c r="G100" i="5"/>
  <c r="F100" i="5"/>
  <c r="E100" i="5"/>
  <c r="D100" i="5"/>
  <c r="Q99" i="5"/>
  <c r="P99" i="5"/>
  <c r="R99" i="5" s="1"/>
  <c r="O99" i="5"/>
  <c r="N99" i="5"/>
  <c r="M99" i="5"/>
  <c r="L99" i="5"/>
  <c r="I99" i="5"/>
  <c r="H99" i="5"/>
  <c r="G99" i="5"/>
  <c r="F99" i="5"/>
  <c r="E99" i="5"/>
  <c r="D99" i="5"/>
  <c r="Q98" i="5"/>
  <c r="P98" i="5"/>
  <c r="R98" i="5" s="1"/>
  <c r="O98" i="5"/>
  <c r="N98" i="5"/>
  <c r="M98" i="5"/>
  <c r="L98" i="5"/>
  <c r="I98" i="5"/>
  <c r="H98" i="5"/>
  <c r="G98" i="5"/>
  <c r="F98" i="5"/>
  <c r="E98" i="5"/>
  <c r="D98" i="5"/>
  <c r="Q97" i="5"/>
  <c r="T97" i="5" s="1"/>
  <c r="P97" i="5"/>
  <c r="R97" i="5" s="1"/>
  <c r="O97" i="5"/>
  <c r="N97" i="5"/>
  <c r="M97" i="5"/>
  <c r="L97" i="5"/>
  <c r="I97" i="5"/>
  <c r="H97" i="5"/>
  <c r="J97" i="5" s="1"/>
  <c r="G97" i="5"/>
  <c r="F97" i="5"/>
  <c r="E97" i="5"/>
  <c r="D97" i="5"/>
  <c r="Q96" i="5"/>
  <c r="P96" i="5"/>
  <c r="S96" i="5" s="1"/>
  <c r="O96" i="5"/>
  <c r="N96" i="5"/>
  <c r="M96" i="5"/>
  <c r="L96" i="5"/>
  <c r="I96" i="5"/>
  <c r="H96" i="5"/>
  <c r="J96" i="5" s="1"/>
  <c r="G96" i="5"/>
  <c r="F96" i="5"/>
  <c r="E96" i="5"/>
  <c r="D96" i="5"/>
  <c r="Q95" i="5"/>
  <c r="T95" i="5" s="1"/>
  <c r="P95" i="5"/>
  <c r="O95" i="5"/>
  <c r="N95" i="5"/>
  <c r="M95" i="5"/>
  <c r="L95" i="5"/>
  <c r="I95" i="5"/>
  <c r="H95" i="5"/>
  <c r="J95" i="5" s="1"/>
  <c r="G95" i="5"/>
  <c r="F95" i="5"/>
  <c r="E95" i="5"/>
  <c r="D95" i="5"/>
  <c r="Q94" i="5"/>
  <c r="P94" i="5"/>
  <c r="O94" i="5"/>
  <c r="N94" i="5"/>
  <c r="M94" i="5"/>
  <c r="L94" i="5"/>
  <c r="I94" i="5"/>
  <c r="T94" i="5" s="1"/>
  <c r="H94" i="5"/>
  <c r="J94" i="5" s="1"/>
  <c r="G94" i="5"/>
  <c r="F94" i="5"/>
  <c r="E94" i="5"/>
  <c r="D94" i="5"/>
  <c r="Q93" i="5"/>
  <c r="T93" i="5" s="1"/>
  <c r="P93" i="5"/>
  <c r="O93" i="5"/>
  <c r="N93" i="5"/>
  <c r="M93" i="5"/>
  <c r="L93" i="5"/>
  <c r="I93" i="5"/>
  <c r="H93" i="5"/>
  <c r="J93" i="5" s="1"/>
  <c r="G93" i="5"/>
  <c r="F93" i="5"/>
  <c r="E93" i="5"/>
  <c r="D93" i="5"/>
  <c r="Q92" i="5"/>
  <c r="T92" i="5" s="1"/>
  <c r="P92" i="5"/>
  <c r="S92" i="5" s="1"/>
  <c r="O92" i="5"/>
  <c r="N92" i="5"/>
  <c r="M92" i="5"/>
  <c r="L92" i="5"/>
  <c r="I92" i="5"/>
  <c r="H92" i="5"/>
  <c r="J92" i="5" s="1"/>
  <c r="G92" i="5"/>
  <c r="F92" i="5"/>
  <c r="E92" i="5"/>
  <c r="D92" i="5"/>
  <c r="R91" i="5"/>
  <c r="Q91" i="5"/>
  <c r="P91" i="5"/>
  <c r="I91" i="5"/>
  <c r="H91" i="5"/>
  <c r="S91" i="5" s="1"/>
  <c r="G91" i="5"/>
  <c r="F91" i="5"/>
  <c r="E91" i="5"/>
  <c r="D91" i="5"/>
  <c r="R90" i="5"/>
  <c r="Q90" i="5"/>
  <c r="P90" i="5"/>
  <c r="I90" i="5"/>
  <c r="H90" i="5"/>
  <c r="S90" i="5" s="1"/>
  <c r="Q89" i="5"/>
  <c r="P89" i="5"/>
  <c r="R89" i="5" s="1"/>
  <c r="I89" i="5"/>
  <c r="H89" i="5"/>
  <c r="J89" i="5" s="1"/>
  <c r="Q88" i="5"/>
  <c r="P88" i="5"/>
  <c r="I88" i="5"/>
  <c r="H88" i="5"/>
  <c r="J88" i="5" s="1"/>
  <c r="Q87" i="5"/>
  <c r="P87" i="5"/>
  <c r="S87" i="5" s="1"/>
  <c r="J87" i="5"/>
  <c r="I87" i="5"/>
  <c r="H87" i="5"/>
  <c r="T86" i="5"/>
  <c r="Q86" i="5"/>
  <c r="P86" i="5"/>
  <c r="I86" i="5"/>
  <c r="H86" i="5"/>
  <c r="J86" i="5" s="1"/>
  <c r="Q85" i="5"/>
  <c r="P85" i="5"/>
  <c r="I85" i="5"/>
  <c r="H85" i="5"/>
  <c r="J85" i="5" s="1"/>
  <c r="Q84" i="5"/>
  <c r="P84" i="5"/>
  <c r="S84" i="5" s="1"/>
  <c r="I84" i="5"/>
  <c r="T84" i="5" s="1"/>
  <c r="H84" i="5"/>
  <c r="J84" i="5" s="1"/>
  <c r="Q83" i="5"/>
  <c r="T83" i="5" s="1"/>
  <c r="P83" i="5"/>
  <c r="R83" i="5" s="1"/>
  <c r="I83" i="5"/>
  <c r="H83" i="5"/>
  <c r="R82" i="5"/>
  <c r="Q82" i="5"/>
  <c r="P82" i="5"/>
  <c r="I82" i="5"/>
  <c r="H82" i="5"/>
  <c r="R81" i="5"/>
  <c r="Q81" i="5"/>
  <c r="P81" i="5"/>
  <c r="I81" i="5"/>
  <c r="H81" i="5"/>
  <c r="S81" i="5" s="1"/>
  <c r="Q80" i="5"/>
  <c r="P80" i="5"/>
  <c r="R80" i="5" s="1"/>
  <c r="I80" i="5"/>
  <c r="H80" i="5"/>
  <c r="Q79" i="5"/>
  <c r="P79" i="5"/>
  <c r="I79" i="5"/>
  <c r="H79" i="5"/>
  <c r="J79" i="5" s="1"/>
  <c r="T78" i="5"/>
  <c r="S78" i="5"/>
  <c r="J78" i="5"/>
  <c r="T77" i="5"/>
  <c r="S77" i="5"/>
  <c r="J77" i="5"/>
  <c r="T76" i="5"/>
  <c r="S76" i="5"/>
  <c r="J76" i="5"/>
  <c r="R75" i="5"/>
  <c r="T75" i="5"/>
  <c r="S75" i="5"/>
  <c r="R74" i="5"/>
  <c r="T74" i="5"/>
  <c r="S74" i="5"/>
  <c r="R73" i="5"/>
  <c r="T73" i="5"/>
  <c r="S73" i="5"/>
  <c r="R72" i="5"/>
  <c r="T72" i="5"/>
  <c r="S72" i="5"/>
  <c r="T71" i="5"/>
  <c r="S71" i="5"/>
  <c r="J71" i="5"/>
  <c r="T70" i="5"/>
  <c r="S70" i="5"/>
  <c r="J70" i="5"/>
  <c r="T69" i="5"/>
  <c r="S69" i="5"/>
  <c r="J69" i="5"/>
  <c r="T68" i="5"/>
  <c r="S68" i="5"/>
  <c r="J68" i="5"/>
  <c r="R67" i="5"/>
  <c r="T67" i="5"/>
  <c r="S67" i="5"/>
  <c r="R66" i="5"/>
  <c r="T66" i="5"/>
  <c r="S66" i="5"/>
  <c r="S65" i="5"/>
  <c r="R65" i="5"/>
  <c r="J65" i="5"/>
  <c r="T65" i="5"/>
  <c r="C65" i="5"/>
  <c r="T64" i="5"/>
  <c r="J64" i="5"/>
  <c r="C64" i="5"/>
  <c r="S63" i="5"/>
  <c r="R63" i="5"/>
  <c r="J63" i="5"/>
  <c r="I111" i="5"/>
  <c r="C63" i="5"/>
  <c r="Q62" i="5"/>
  <c r="P62" i="5"/>
  <c r="O62" i="5"/>
  <c r="N62" i="5"/>
  <c r="M62" i="5"/>
  <c r="L62" i="5"/>
  <c r="I62" i="5"/>
  <c r="H62" i="5"/>
  <c r="J62" i="5" s="1"/>
  <c r="G62" i="5"/>
  <c r="F62" i="5"/>
  <c r="E62" i="5"/>
  <c r="D62" i="5"/>
  <c r="Q61" i="5"/>
  <c r="T61" i="5" s="1"/>
  <c r="P61" i="5"/>
  <c r="O61" i="5"/>
  <c r="N61" i="5"/>
  <c r="M61" i="5"/>
  <c r="L61" i="5"/>
  <c r="I61" i="5"/>
  <c r="H61" i="5"/>
  <c r="J61" i="5" s="1"/>
  <c r="G61" i="5"/>
  <c r="F61" i="5"/>
  <c r="E61" i="5"/>
  <c r="D61" i="5"/>
  <c r="T60" i="5"/>
  <c r="Q60" i="5"/>
  <c r="P60" i="5"/>
  <c r="O60" i="5"/>
  <c r="N60" i="5"/>
  <c r="M60" i="5"/>
  <c r="L60" i="5"/>
  <c r="I60" i="5"/>
  <c r="H60" i="5"/>
  <c r="J60" i="5" s="1"/>
  <c r="G60" i="5"/>
  <c r="F60" i="5"/>
  <c r="E60" i="5"/>
  <c r="D60" i="5"/>
  <c r="R59" i="5"/>
  <c r="Q59" i="5"/>
  <c r="P59" i="5"/>
  <c r="O59" i="5"/>
  <c r="N59" i="5"/>
  <c r="M59" i="5"/>
  <c r="L59" i="5"/>
  <c r="I59" i="5"/>
  <c r="H59" i="5"/>
  <c r="S59" i="5" s="1"/>
  <c r="G59" i="5"/>
  <c r="F59" i="5"/>
  <c r="E59" i="5"/>
  <c r="D59" i="5"/>
  <c r="Q58" i="5"/>
  <c r="P58" i="5"/>
  <c r="R58" i="5" s="1"/>
  <c r="O58" i="5"/>
  <c r="N58" i="5"/>
  <c r="M58" i="5"/>
  <c r="L58" i="5"/>
  <c r="I58" i="5"/>
  <c r="H58" i="5"/>
  <c r="G58" i="5"/>
  <c r="F58" i="5"/>
  <c r="E58" i="5"/>
  <c r="D58" i="5"/>
  <c r="Q57" i="5"/>
  <c r="P57" i="5"/>
  <c r="R57" i="5" s="1"/>
  <c r="O57" i="5"/>
  <c r="N57" i="5"/>
  <c r="M57" i="5"/>
  <c r="L57" i="5"/>
  <c r="J57" i="5"/>
  <c r="I57" i="5"/>
  <c r="H57" i="5"/>
  <c r="G57" i="5"/>
  <c r="F57" i="5"/>
  <c r="E57" i="5"/>
  <c r="D57" i="5"/>
  <c r="Q56" i="5"/>
  <c r="P56" i="5"/>
  <c r="R56" i="5" s="1"/>
  <c r="O56" i="5"/>
  <c r="N56" i="5"/>
  <c r="M56" i="5"/>
  <c r="L56" i="5"/>
  <c r="I56" i="5"/>
  <c r="H56" i="5"/>
  <c r="J56" i="5" s="1"/>
  <c r="G56" i="5"/>
  <c r="F56" i="5"/>
  <c r="E56" i="5"/>
  <c r="D56" i="5"/>
  <c r="Q55" i="5"/>
  <c r="P55" i="5"/>
  <c r="O55" i="5"/>
  <c r="N55" i="5"/>
  <c r="M55" i="5"/>
  <c r="L55" i="5"/>
  <c r="I55" i="5"/>
  <c r="T55" i="5" s="1"/>
  <c r="H55" i="5"/>
  <c r="J55" i="5" s="1"/>
  <c r="G55" i="5"/>
  <c r="F55" i="5"/>
  <c r="E55" i="5"/>
  <c r="D55" i="5"/>
  <c r="Q54" i="5"/>
  <c r="P54" i="5"/>
  <c r="O54" i="5"/>
  <c r="N54" i="5"/>
  <c r="M54" i="5"/>
  <c r="L54" i="5"/>
  <c r="I54" i="5"/>
  <c r="H54" i="5"/>
  <c r="J54" i="5" s="1"/>
  <c r="G54" i="5"/>
  <c r="F54" i="5"/>
  <c r="E54" i="5"/>
  <c r="D54" i="5"/>
  <c r="Q53" i="5"/>
  <c r="P53" i="5"/>
  <c r="O53" i="5"/>
  <c r="N53" i="5"/>
  <c r="M53" i="5"/>
  <c r="L53" i="5"/>
  <c r="I53" i="5"/>
  <c r="H53" i="5"/>
  <c r="J53" i="5" s="1"/>
  <c r="G53" i="5"/>
  <c r="F53" i="5"/>
  <c r="E53" i="5"/>
  <c r="D53" i="5"/>
  <c r="Q52" i="5"/>
  <c r="P52" i="5"/>
  <c r="O52" i="5"/>
  <c r="N52" i="5"/>
  <c r="M52" i="5"/>
  <c r="L52" i="5"/>
  <c r="I52" i="5"/>
  <c r="T52" i="5" s="1"/>
  <c r="H52" i="5"/>
  <c r="J52" i="5" s="1"/>
  <c r="G52" i="5"/>
  <c r="F52" i="5"/>
  <c r="E52" i="5"/>
  <c r="D52" i="5"/>
  <c r="Q51" i="5"/>
  <c r="P51" i="5"/>
  <c r="R51" i="5" s="1"/>
  <c r="O51" i="5"/>
  <c r="N51" i="5"/>
  <c r="M51" i="5"/>
  <c r="L51" i="5"/>
  <c r="I51" i="5"/>
  <c r="H51" i="5"/>
  <c r="G51" i="5"/>
  <c r="F51" i="5"/>
  <c r="E51" i="5"/>
  <c r="D51" i="5"/>
  <c r="R50" i="5"/>
  <c r="Q50" i="5"/>
  <c r="P50" i="5"/>
  <c r="O50" i="5"/>
  <c r="N50" i="5"/>
  <c r="M50" i="5"/>
  <c r="L50" i="5"/>
  <c r="I50" i="5"/>
  <c r="H50" i="5"/>
  <c r="G50" i="5"/>
  <c r="F50" i="5"/>
  <c r="E50" i="5"/>
  <c r="D50" i="5"/>
  <c r="R49" i="5"/>
  <c r="Q49" i="5"/>
  <c r="P49" i="5"/>
  <c r="O49" i="5"/>
  <c r="N49" i="5"/>
  <c r="M49" i="5"/>
  <c r="L49" i="5"/>
  <c r="I49" i="5"/>
  <c r="H49" i="5"/>
  <c r="S49" i="5" s="1"/>
  <c r="G49" i="5"/>
  <c r="F49" i="5"/>
  <c r="E49" i="5"/>
  <c r="D49" i="5"/>
  <c r="Q48" i="5"/>
  <c r="P48" i="5"/>
  <c r="R48" i="5" s="1"/>
  <c r="O48" i="5"/>
  <c r="N48" i="5"/>
  <c r="M48" i="5"/>
  <c r="L48" i="5"/>
  <c r="I48" i="5"/>
  <c r="H48" i="5"/>
  <c r="G48" i="5"/>
  <c r="F48" i="5"/>
  <c r="E48" i="5"/>
  <c r="D48" i="5"/>
  <c r="Q47" i="5"/>
  <c r="P47" i="5"/>
  <c r="R47" i="5" s="1"/>
  <c r="O47" i="5"/>
  <c r="N47" i="5"/>
  <c r="M47" i="5"/>
  <c r="L47" i="5"/>
  <c r="I47" i="5"/>
  <c r="H47" i="5"/>
  <c r="J47" i="5" s="1"/>
  <c r="G47" i="5"/>
  <c r="F47" i="5"/>
  <c r="E47" i="5"/>
  <c r="D47" i="5"/>
  <c r="Q46" i="5"/>
  <c r="P46" i="5"/>
  <c r="R46" i="5" s="1"/>
  <c r="O46" i="5"/>
  <c r="N46" i="5"/>
  <c r="M46" i="5"/>
  <c r="L46" i="5"/>
  <c r="J46" i="5"/>
  <c r="I46" i="5"/>
  <c r="T46" i="5" s="1"/>
  <c r="H46" i="5"/>
  <c r="G46" i="5"/>
  <c r="F46" i="5"/>
  <c r="E46" i="5"/>
  <c r="D46" i="5"/>
  <c r="Q45" i="5"/>
  <c r="P45" i="5"/>
  <c r="O45" i="5"/>
  <c r="N45" i="5"/>
  <c r="M45" i="5"/>
  <c r="L45" i="5"/>
  <c r="I45" i="5"/>
  <c r="H45" i="5"/>
  <c r="J45" i="5" s="1"/>
  <c r="G45" i="5"/>
  <c r="F45" i="5"/>
  <c r="E45" i="5"/>
  <c r="D45" i="5"/>
  <c r="Q44" i="5"/>
  <c r="P44" i="5"/>
  <c r="O44" i="5"/>
  <c r="N44" i="5"/>
  <c r="M44" i="5"/>
  <c r="L44" i="5"/>
  <c r="I44" i="5"/>
  <c r="H44" i="5"/>
  <c r="J44" i="5" s="1"/>
  <c r="G44" i="5"/>
  <c r="F44" i="5"/>
  <c r="E44" i="5"/>
  <c r="D44" i="5"/>
  <c r="Q43" i="5"/>
  <c r="P43" i="5"/>
  <c r="O43" i="5"/>
  <c r="N43" i="5"/>
  <c r="M43" i="5"/>
  <c r="L43" i="5"/>
  <c r="I43" i="5"/>
  <c r="H43" i="5"/>
  <c r="J43" i="5" s="1"/>
  <c r="G43" i="5"/>
  <c r="F43" i="5"/>
  <c r="E43" i="5"/>
  <c r="D43" i="5"/>
  <c r="Q42" i="5"/>
  <c r="P42" i="5"/>
  <c r="O42" i="5"/>
  <c r="N42" i="5"/>
  <c r="M42" i="5"/>
  <c r="L42" i="5"/>
  <c r="I42" i="5"/>
  <c r="H42" i="5"/>
  <c r="J42" i="5" s="1"/>
  <c r="G42" i="5"/>
  <c r="F42" i="5"/>
  <c r="E42" i="5"/>
  <c r="D42" i="5"/>
  <c r="Q41" i="5"/>
  <c r="P41" i="5"/>
  <c r="S41" i="5" s="1"/>
  <c r="O41" i="5"/>
  <c r="N41" i="5"/>
  <c r="M41" i="5"/>
  <c r="L41" i="5"/>
  <c r="I41" i="5"/>
  <c r="H41" i="5"/>
  <c r="J41" i="5" s="1"/>
  <c r="G41" i="5"/>
  <c r="F41" i="5"/>
  <c r="E41" i="5"/>
  <c r="D41" i="5"/>
  <c r="R40" i="5"/>
  <c r="Q40" i="5"/>
  <c r="P40" i="5"/>
  <c r="O40" i="5"/>
  <c r="N40" i="5"/>
  <c r="M40" i="5"/>
  <c r="L40" i="5"/>
  <c r="I40" i="5"/>
  <c r="H40" i="5"/>
  <c r="J40" i="5" s="1"/>
  <c r="G40" i="5"/>
  <c r="F40" i="5"/>
  <c r="E40" i="5"/>
  <c r="D40" i="5"/>
  <c r="Q39" i="5"/>
  <c r="P39" i="5"/>
  <c r="O39" i="5"/>
  <c r="N39" i="5"/>
  <c r="M39" i="5"/>
  <c r="L39" i="5"/>
  <c r="I39" i="5"/>
  <c r="T39" i="5" s="1"/>
  <c r="H39" i="5"/>
  <c r="J39" i="5" s="1"/>
  <c r="G39" i="5"/>
  <c r="F39" i="5"/>
  <c r="E39" i="5"/>
  <c r="D39" i="5"/>
  <c r="Q38" i="5"/>
  <c r="P38" i="5"/>
  <c r="O38" i="5"/>
  <c r="N38" i="5"/>
  <c r="M38" i="5"/>
  <c r="L38" i="5"/>
  <c r="I38" i="5"/>
  <c r="H38" i="5"/>
  <c r="J38" i="5" s="1"/>
  <c r="G38" i="5"/>
  <c r="F38" i="5"/>
  <c r="E38" i="5"/>
  <c r="D38" i="5"/>
  <c r="Q37" i="5"/>
  <c r="P37" i="5"/>
  <c r="O37" i="5"/>
  <c r="N37" i="5"/>
  <c r="M37" i="5"/>
  <c r="L37" i="5"/>
  <c r="I37" i="5"/>
  <c r="T37" i="5" s="1"/>
  <c r="H37" i="5"/>
  <c r="J37" i="5" s="1"/>
  <c r="G37" i="5"/>
  <c r="F37" i="5"/>
  <c r="E37" i="5"/>
  <c r="D37" i="5"/>
  <c r="Q36" i="5"/>
  <c r="P36" i="5"/>
  <c r="O36" i="5"/>
  <c r="N36" i="5"/>
  <c r="M36" i="5"/>
  <c r="L36" i="5"/>
  <c r="J36" i="5"/>
  <c r="I36" i="5"/>
  <c r="T36" i="5" s="1"/>
  <c r="H36" i="5"/>
  <c r="G36" i="5"/>
  <c r="F36" i="5"/>
  <c r="E36" i="5"/>
  <c r="D36" i="5"/>
  <c r="Q35" i="5"/>
  <c r="P35" i="5"/>
  <c r="O35" i="5"/>
  <c r="N35" i="5"/>
  <c r="M35" i="5"/>
  <c r="L35" i="5"/>
  <c r="I35" i="5"/>
  <c r="T35" i="5" s="1"/>
  <c r="H35" i="5"/>
  <c r="J35" i="5" s="1"/>
  <c r="G35" i="5"/>
  <c r="F35" i="5"/>
  <c r="E35" i="5"/>
  <c r="D35" i="5"/>
  <c r="Q34" i="5"/>
  <c r="P34" i="5"/>
  <c r="O34" i="5"/>
  <c r="N34" i="5"/>
  <c r="M34" i="5"/>
  <c r="L34" i="5"/>
  <c r="I34" i="5"/>
  <c r="T34" i="5" s="1"/>
  <c r="H34" i="5"/>
  <c r="J34" i="5" s="1"/>
  <c r="G34" i="5"/>
  <c r="F34" i="5"/>
  <c r="E34" i="5"/>
  <c r="D34" i="5"/>
  <c r="Q33" i="5"/>
  <c r="P33" i="5"/>
  <c r="O33" i="5"/>
  <c r="N33" i="5"/>
  <c r="M33" i="5"/>
  <c r="L33" i="5"/>
  <c r="I33" i="5"/>
  <c r="T33" i="5" s="1"/>
  <c r="H33" i="5"/>
  <c r="J33" i="5" s="1"/>
  <c r="G33" i="5"/>
  <c r="F33" i="5"/>
  <c r="E33" i="5"/>
  <c r="D33" i="5"/>
  <c r="Q32" i="5"/>
  <c r="P32" i="5"/>
  <c r="O32" i="5"/>
  <c r="N32" i="5"/>
  <c r="M32" i="5"/>
  <c r="L32" i="5"/>
  <c r="I32" i="5"/>
  <c r="T32" i="5" s="1"/>
  <c r="H32" i="5"/>
  <c r="J32" i="5" s="1"/>
  <c r="G32" i="5"/>
  <c r="F32" i="5"/>
  <c r="E32" i="5"/>
  <c r="D32" i="5"/>
  <c r="Q31" i="5"/>
  <c r="P31" i="5"/>
  <c r="S31" i="5" s="1"/>
  <c r="O31" i="5"/>
  <c r="N31" i="5"/>
  <c r="M31" i="5"/>
  <c r="L31" i="5"/>
  <c r="J31" i="5"/>
  <c r="I31" i="5"/>
  <c r="T31" i="5" s="1"/>
  <c r="H31" i="5"/>
  <c r="G31" i="5"/>
  <c r="F31" i="5"/>
  <c r="E31" i="5"/>
  <c r="D31" i="5"/>
  <c r="R30" i="5"/>
  <c r="Q30" i="5"/>
  <c r="P30" i="5"/>
  <c r="O30" i="5"/>
  <c r="N30" i="5"/>
  <c r="M30" i="5"/>
  <c r="L30" i="5"/>
  <c r="I30" i="5"/>
  <c r="H30" i="5"/>
  <c r="J30" i="5" s="1"/>
  <c r="G30" i="5"/>
  <c r="F30" i="5"/>
  <c r="E30" i="5"/>
  <c r="D30" i="5"/>
  <c r="Q29" i="5"/>
  <c r="P29" i="5"/>
  <c r="O29" i="5"/>
  <c r="N29" i="5"/>
  <c r="M29" i="5"/>
  <c r="L29" i="5"/>
  <c r="J29" i="5"/>
  <c r="I29" i="5"/>
  <c r="H29" i="5"/>
  <c r="G29" i="5"/>
  <c r="F29" i="5"/>
  <c r="E29" i="5"/>
  <c r="D29" i="5"/>
  <c r="Q28" i="5"/>
  <c r="P28" i="5"/>
  <c r="R28" i="5" s="1"/>
  <c r="O28" i="5"/>
  <c r="N28" i="5"/>
  <c r="M28" i="5"/>
  <c r="L28" i="5"/>
  <c r="I28" i="5"/>
  <c r="H28" i="5"/>
  <c r="J28" i="5" s="1"/>
  <c r="G28" i="5"/>
  <c r="F28" i="5"/>
  <c r="E28" i="5"/>
  <c r="D28" i="5"/>
  <c r="Q27" i="5"/>
  <c r="P27" i="5"/>
  <c r="O27" i="5"/>
  <c r="N27" i="5"/>
  <c r="M27" i="5"/>
  <c r="L27" i="5"/>
  <c r="I27" i="5"/>
  <c r="H27" i="5"/>
  <c r="J27" i="5" s="1"/>
  <c r="G27" i="5"/>
  <c r="F27" i="5"/>
  <c r="E27" i="5"/>
  <c r="D27" i="5"/>
  <c r="Q106" i="4"/>
  <c r="P106" i="4"/>
  <c r="R106" i="4" s="1"/>
  <c r="O106" i="4"/>
  <c r="N106" i="4"/>
  <c r="M106" i="4"/>
  <c r="L106" i="4"/>
  <c r="I106" i="4"/>
  <c r="H106" i="4"/>
  <c r="J106" i="4" s="1"/>
  <c r="G106" i="4"/>
  <c r="F106" i="4"/>
  <c r="E106" i="4"/>
  <c r="D106" i="4"/>
  <c r="R105" i="4"/>
  <c r="Q105" i="4"/>
  <c r="P105" i="4"/>
  <c r="O105" i="4"/>
  <c r="N105" i="4"/>
  <c r="M105" i="4"/>
  <c r="L105" i="4"/>
  <c r="I105" i="4"/>
  <c r="T105" i="4" s="1"/>
  <c r="H105" i="4"/>
  <c r="J105" i="4" s="1"/>
  <c r="G105" i="4"/>
  <c r="F105" i="4"/>
  <c r="E105" i="4"/>
  <c r="D105" i="4"/>
  <c r="Q104" i="4"/>
  <c r="P104" i="4"/>
  <c r="S104" i="4" s="1"/>
  <c r="O104" i="4"/>
  <c r="N104" i="4"/>
  <c r="M104" i="4"/>
  <c r="L104" i="4"/>
  <c r="J104" i="4"/>
  <c r="I104" i="4"/>
  <c r="T104" i="4" s="1"/>
  <c r="H104" i="4"/>
  <c r="G104" i="4"/>
  <c r="F104" i="4"/>
  <c r="E104" i="4"/>
  <c r="D104" i="4"/>
  <c r="Q103" i="4"/>
  <c r="P103" i="4"/>
  <c r="R103" i="4" s="1"/>
  <c r="O103" i="4"/>
  <c r="N103" i="4"/>
  <c r="M103" i="4"/>
  <c r="L103" i="4"/>
  <c r="I103" i="4"/>
  <c r="H103" i="4"/>
  <c r="J103" i="4" s="1"/>
  <c r="G103" i="4"/>
  <c r="F103" i="4"/>
  <c r="E103" i="4"/>
  <c r="D103" i="4"/>
  <c r="Q102" i="4"/>
  <c r="P102" i="4"/>
  <c r="R102" i="4" s="1"/>
  <c r="O102" i="4"/>
  <c r="N102" i="4"/>
  <c r="M102" i="4"/>
  <c r="L102" i="4"/>
  <c r="I102" i="4"/>
  <c r="H102" i="4"/>
  <c r="J102" i="4" s="1"/>
  <c r="G102" i="4"/>
  <c r="F102" i="4"/>
  <c r="E102" i="4"/>
  <c r="D102" i="4"/>
  <c r="Q101" i="4"/>
  <c r="P101" i="4"/>
  <c r="R101" i="4" s="1"/>
  <c r="O101" i="4"/>
  <c r="N101" i="4"/>
  <c r="M101" i="4"/>
  <c r="L101" i="4"/>
  <c r="I101" i="4"/>
  <c r="H101" i="4"/>
  <c r="J101" i="4" s="1"/>
  <c r="G101" i="4"/>
  <c r="F101" i="4"/>
  <c r="E101" i="4"/>
  <c r="D101" i="4"/>
  <c r="Q100" i="4"/>
  <c r="P100" i="4"/>
  <c r="R100" i="4" s="1"/>
  <c r="O100" i="4"/>
  <c r="N100" i="4"/>
  <c r="M100" i="4"/>
  <c r="L100" i="4"/>
  <c r="I100" i="4"/>
  <c r="H100" i="4"/>
  <c r="J100" i="4" s="1"/>
  <c r="G100" i="4"/>
  <c r="F100" i="4"/>
  <c r="E100" i="4"/>
  <c r="D100" i="4"/>
  <c r="Q99" i="4"/>
  <c r="P99" i="4"/>
  <c r="R99" i="4" s="1"/>
  <c r="O99" i="4"/>
  <c r="N99" i="4"/>
  <c r="M99" i="4"/>
  <c r="L99" i="4"/>
  <c r="I99" i="4"/>
  <c r="H99" i="4"/>
  <c r="G99" i="4"/>
  <c r="F99" i="4"/>
  <c r="E99" i="4"/>
  <c r="D99" i="4"/>
  <c r="Q98" i="4"/>
  <c r="P98" i="4"/>
  <c r="R98" i="4" s="1"/>
  <c r="O98" i="4"/>
  <c r="N98" i="4"/>
  <c r="M98" i="4"/>
  <c r="L98" i="4"/>
  <c r="I98" i="4"/>
  <c r="H98" i="4"/>
  <c r="G98" i="4"/>
  <c r="F98" i="4"/>
  <c r="E98" i="4"/>
  <c r="D98" i="4"/>
  <c r="Q97" i="4"/>
  <c r="P97" i="4"/>
  <c r="R97" i="4" s="1"/>
  <c r="O97" i="4"/>
  <c r="N97" i="4"/>
  <c r="M97" i="4"/>
  <c r="L97" i="4"/>
  <c r="I97" i="4"/>
  <c r="H97" i="4"/>
  <c r="G97" i="4"/>
  <c r="F97" i="4"/>
  <c r="E97" i="4"/>
  <c r="D97" i="4"/>
  <c r="Q96" i="4"/>
  <c r="P96" i="4"/>
  <c r="R96" i="4" s="1"/>
  <c r="O96" i="4"/>
  <c r="N96" i="4"/>
  <c r="M96" i="4"/>
  <c r="L96" i="4"/>
  <c r="I96" i="4"/>
  <c r="H96" i="4"/>
  <c r="G96" i="4"/>
  <c r="F96" i="4"/>
  <c r="E96" i="4"/>
  <c r="D96" i="4"/>
  <c r="Q95" i="4"/>
  <c r="P95" i="4"/>
  <c r="R95" i="4" s="1"/>
  <c r="O95" i="4"/>
  <c r="N95" i="4"/>
  <c r="M95" i="4"/>
  <c r="L95" i="4"/>
  <c r="I95" i="4"/>
  <c r="H95" i="4"/>
  <c r="G95" i="4"/>
  <c r="F95" i="4"/>
  <c r="E95" i="4"/>
  <c r="D95" i="4"/>
  <c r="Q94" i="4"/>
  <c r="P94" i="4"/>
  <c r="R94" i="4" s="1"/>
  <c r="O94" i="4"/>
  <c r="N94" i="4"/>
  <c r="M94" i="4"/>
  <c r="L94" i="4"/>
  <c r="I94" i="4"/>
  <c r="H94" i="4"/>
  <c r="J94" i="4" s="1"/>
  <c r="G94" i="4"/>
  <c r="F94" i="4"/>
  <c r="E94" i="4"/>
  <c r="D94" i="4"/>
  <c r="Q93" i="4"/>
  <c r="P93" i="4"/>
  <c r="R93" i="4" s="1"/>
  <c r="O93" i="4"/>
  <c r="N93" i="4"/>
  <c r="M93" i="4"/>
  <c r="L93" i="4"/>
  <c r="I93" i="4"/>
  <c r="H93" i="4"/>
  <c r="J93" i="4" s="1"/>
  <c r="G93" i="4"/>
  <c r="F93" i="4"/>
  <c r="E93" i="4"/>
  <c r="D93" i="4"/>
  <c r="Q92" i="4"/>
  <c r="P92" i="4"/>
  <c r="R92" i="4" s="1"/>
  <c r="O92" i="4"/>
  <c r="N92" i="4"/>
  <c r="M92" i="4"/>
  <c r="L92" i="4"/>
  <c r="J92" i="4"/>
  <c r="I92" i="4"/>
  <c r="H92" i="4"/>
  <c r="G92" i="4"/>
  <c r="F92" i="4"/>
  <c r="E92" i="4"/>
  <c r="D92" i="4"/>
  <c r="Q91" i="4"/>
  <c r="P91" i="4"/>
  <c r="R91" i="4" s="1"/>
  <c r="O91" i="4"/>
  <c r="N91" i="4"/>
  <c r="M91" i="4"/>
  <c r="L91" i="4"/>
  <c r="I91" i="4"/>
  <c r="H91" i="4"/>
  <c r="G91" i="4"/>
  <c r="F91" i="4"/>
  <c r="E91" i="4"/>
  <c r="D91" i="4"/>
  <c r="T78" i="4"/>
  <c r="R78" i="4"/>
  <c r="T77" i="4"/>
  <c r="R77" i="4"/>
  <c r="T76" i="4"/>
  <c r="R76" i="4"/>
  <c r="S75" i="4"/>
  <c r="T75" i="4"/>
  <c r="R75" i="4"/>
  <c r="J75" i="4"/>
  <c r="S74" i="4"/>
  <c r="T74" i="4"/>
  <c r="R74" i="4"/>
  <c r="J74" i="4"/>
  <c r="S73" i="4"/>
  <c r="T73" i="4"/>
  <c r="R73" i="4"/>
  <c r="J73" i="4"/>
  <c r="S72" i="4"/>
  <c r="T72" i="4"/>
  <c r="R72" i="4"/>
  <c r="J72" i="4"/>
  <c r="T71" i="4"/>
  <c r="R71" i="4"/>
  <c r="T70" i="4"/>
  <c r="R70" i="4"/>
  <c r="T69" i="4"/>
  <c r="R69" i="4"/>
  <c r="T68" i="4"/>
  <c r="R68" i="4"/>
  <c r="S67" i="4"/>
  <c r="T67" i="4"/>
  <c r="R67" i="4"/>
  <c r="J67" i="4"/>
  <c r="S66" i="4"/>
  <c r="T66" i="4"/>
  <c r="R66" i="4"/>
  <c r="J66" i="4"/>
  <c r="C66" i="4"/>
  <c r="T65" i="4"/>
  <c r="J65" i="4"/>
  <c r="C65" i="4"/>
  <c r="T64" i="4"/>
  <c r="R64" i="4"/>
  <c r="C64" i="4"/>
  <c r="S63" i="4"/>
  <c r="I111" i="4"/>
  <c r="J63" i="4"/>
  <c r="C63" i="4"/>
  <c r="R62" i="4"/>
  <c r="I62" i="4"/>
  <c r="T62" i="4" s="1"/>
  <c r="H62" i="4"/>
  <c r="J62" i="4" s="1"/>
  <c r="G62" i="4"/>
  <c r="F62" i="4"/>
  <c r="E62" i="4"/>
  <c r="D62" i="4"/>
  <c r="R61" i="4"/>
  <c r="I61" i="4"/>
  <c r="T61" i="4" s="1"/>
  <c r="H61" i="4"/>
  <c r="S61" i="4" s="1"/>
  <c r="G61" i="4"/>
  <c r="F61" i="4"/>
  <c r="E61" i="4"/>
  <c r="D61" i="4"/>
  <c r="R60" i="4"/>
  <c r="I60" i="4"/>
  <c r="T60" i="4" s="1"/>
  <c r="H60" i="4"/>
  <c r="J60" i="4" s="1"/>
  <c r="G60" i="4"/>
  <c r="F60" i="4"/>
  <c r="E60" i="4"/>
  <c r="D60" i="4"/>
  <c r="R59" i="4"/>
  <c r="I59" i="4"/>
  <c r="T59" i="4" s="1"/>
  <c r="H59" i="4"/>
  <c r="S59" i="4" s="1"/>
  <c r="G59" i="4"/>
  <c r="F59" i="4"/>
  <c r="E59" i="4"/>
  <c r="D59" i="4"/>
  <c r="R58" i="4"/>
  <c r="I58" i="4"/>
  <c r="T58" i="4" s="1"/>
  <c r="H58" i="4"/>
  <c r="S58" i="4" s="1"/>
  <c r="G58" i="4"/>
  <c r="F58" i="4"/>
  <c r="E58" i="4"/>
  <c r="D58" i="4"/>
  <c r="R57" i="4"/>
  <c r="T57" i="4"/>
  <c r="I57" i="4"/>
  <c r="H57" i="4"/>
  <c r="S57" i="4" s="1"/>
  <c r="G57" i="4"/>
  <c r="F57" i="4"/>
  <c r="E57" i="4"/>
  <c r="D57" i="4"/>
  <c r="R56" i="4"/>
  <c r="I56" i="4"/>
  <c r="T56" i="4" s="1"/>
  <c r="H56" i="4"/>
  <c r="S56" i="4" s="1"/>
  <c r="G56" i="4"/>
  <c r="F56" i="4"/>
  <c r="E56" i="4"/>
  <c r="D56" i="4"/>
  <c r="R55" i="4"/>
  <c r="I55" i="4"/>
  <c r="T55" i="4" s="1"/>
  <c r="H55" i="4"/>
  <c r="J55" i="4" s="1"/>
  <c r="G55" i="4"/>
  <c r="F55" i="4"/>
  <c r="E55" i="4"/>
  <c r="D55" i="4"/>
  <c r="R54" i="4"/>
  <c r="I54" i="4"/>
  <c r="T54" i="4" s="1"/>
  <c r="H54" i="4"/>
  <c r="J54" i="4" s="1"/>
  <c r="G54" i="4"/>
  <c r="F54" i="4"/>
  <c r="E54" i="4"/>
  <c r="D54" i="4"/>
  <c r="R53" i="4"/>
  <c r="I53" i="4"/>
  <c r="T53" i="4" s="1"/>
  <c r="H53" i="4"/>
  <c r="J53" i="4" s="1"/>
  <c r="G53" i="4"/>
  <c r="F53" i="4"/>
  <c r="E53" i="4"/>
  <c r="D53" i="4"/>
  <c r="T52" i="4"/>
  <c r="R52" i="4"/>
  <c r="I52" i="4"/>
  <c r="H52" i="4"/>
  <c r="J52" i="4" s="1"/>
  <c r="G52" i="4"/>
  <c r="F52" i="4"/>
  <c r="E52" i="4"/>
  <c r="D52" i="4"/>
  <c r="R51" i="4"/>
  <c r="I51" i="4"/>
  <c r="T51" i="4" s="1"/>
  <c r="H51" i="4"/>
  <c r="S51" i="4" s="1"/>
  <c r="G51" i="4"/>
  <c r="F51" i="4"/>
  <c r="E51" i="4"/>
  <c r="D51" i="4"/>
  <c r="R50" i="4"/>
  <c r="I50" i="4"/>
  <c r="T50" i="4" s="1"/>
  <c r="H50" i="4"/>
  <c r="J50" i="4" s="1"/>
  <c r="G50" i="4"/>
  <c r="F50" i="4"/>
  <c r="E50" i="4"/>
  <c r="D50" i="4"/>
  <c r="R49" i="4"/>
  <c r="I49" i="4"/>
  <c r="T49" i="4" s="1"/>
  <c r="H49" i="4"/>
  <c r="J49" i="4" s="1"/>
  <c r="G49" i="4"/>
  <c r="F49" i="4"/>
  <c r="E49" i="4"/>
  <c r="D49" i="4"/>
  <c r="R48" i="4"/>
  <c r="I48" i="4"/>
  <c r="T48" i="4" s="1"/>
  <c r="H48" i="4"/>
  <c r="J48" i="4" s="1"/>
  <c r="G48" i="4"/>
  <c r="F48" i="4"/>
  <c r="E48" i="4"/>
  <c r="D48" i="4"/>
  <c r="Q110" i="4"/>
  <c r="R47" i="4"/>
  <c r="I47" i="4"/>
  <c r="T47" i="4" s="1"/>
  <c r="H47" i="4"/>
  <c r="J47" i="4" s="1"/>
  <c r="G47" i="4"/>
  <c r="F47" i="4"/>
  <c r="E47" i="4"/>
  <c r="D47" i="4"/>
  <c r="R46" i="4"/>
  <c r="I46" i="4"/>
  <c r="T46" i="4" s="1"/>
  <c r="H46" i="4"/>
  <c r="J46" i="4" s="1"/>
  <c r="G46" i="4"/>
  <c r="F46" i="4"/>
  <c r="E46" i="4"/>
  <c r="D46" i="4"/>
  <c r="R45" i="4"/>
  <c r="I45" i="4"/>
  <c r="T45" i="4" s="1"/>
  <c r="H45" i="4"/>
  <c r="J45" i="4" s="1"/>
  <c r="G45" i="4"/>
  <c r="F45" i="4"/>
  <c r="E45" i="4"/>
  <c r="D45" i="4"/>
  <c r="R44" i="4"/>
  <c r="I44" i="4"/>
  <c r="T44" i="4" s="1"/>
  <c r="H44" i="4"/>
  <c r="J44" i="4" s="1"/>
  <c r="G44" i="4"/>
  <c r="F44" i="4"/>
  <c r="E44" i="4"/>
  <c r="D44" i="4"/>
  <c r="R43" i="4"/>
  <c r="I43" i="4"/>
  <c r="T43" i="4" s="1"/>
  <c r="H43" i="4"/>
  <c r="S43" i="4" s="1"/>
  <c r="G43" i="4"/>
  <c r="F43" i="4"/>
  <c r="E43" i="4"/>
  <c r="D43" i="4"/>
  <c r="R42" i="4"/>
  <c r="I42" i="4"/>
  <c r="T42" i="4" s="1"/>
  <c r="H42" i="4"/>
  <c r="J42" i="4" s="1"/>
  <c r="G42" i="4"/>
  <c r="F42" i="4"/>
  <c r="E42" i="4"/>
  <c r="D42" i="4"/>
  <c r="R41" i="4"/>
  <c r="I41" i="4"/>
  <c r="T41" i="4" s="1"/>
  <c r="H41" i="4"/>
  <c r="J41" i="4" s="1"/>
  <c r="G41" i="4"/>
  <c r="F41" i="4"/>
  <c r="E41" i="4"/>
  <c r="D41" i="4"/>
  <c r="R40" i="4"/>
  <c r="I40" i="4"/>
  <c r="T40" i="4" s="1"/>
  <c r="H40" i="4"/>
  <c r="J40" i="4" s="1"/>
  <c r="G40" i="4"/>
  <c r="F40" i="4"/>
  <c r="E40" i="4"/>
  <c r="D40" i="4"/>
  <c r="R39" i="4"/>
  <c r="I39" i="4"/>
  <c r="T39" i="4" s="1"/>
  <c r="H39" i="4"/>
  <c r="J39" i="4" s="1"/>
  <c r="G39" i="4"/>
  <c r="F39" i="4"/>
  <c r="E39" i="4"/>
  <c r="D39" i="4"/>
  <c r="R38" i="4"/>
  <c r="I38" i="4"/>
  <c r="T38" i="4" s="1"/>
  <c r="H38" i="4"/>
  <c r="J38" i="4" s="1"/>
  <c r="G38" i="4"/>
  <c r="F38" i="4"/>
  <c r="E38" i="4"/>
  <c r="D38" i="4"/>
  <c r="R37" i="4"/>
  <c r="I37" i="4"/>
  <c r="T37" i="4" s="1"/>
  <c r="H37" i="4"/>
  <c r="J37" i="4" s="1"/>
  <c r="G37" i="4"/>
  <c r="F37" i="4"/>
  <c r="E37" i="4"/>
  <c r="D37" i="4"/>
  <c r="R36" i="4"/>
  <c r="I36" i="4"/>
  <c r="T36" i="4" s="1"/>
  <c r="H36" i="4"/>
  <c r="J36" i="4" s="1"/>
  <c r="G36" i="4"/>
  <c r="F36" i="4"/>
  <c r="E36" i="4"/>
  <c r="D36" i="4"/>
  <c r="R35" i="4"/>
  <c r="I35" i="4"/>
  <c r="T35" i="4" s="1"/>
  <c r="H35" i="4"/>
  <c r="J35" i="4" s="1"/>
  <c r="G35" i="4"/>
  <c r="F35" i="4"/>
  <c r="E35" i="4"/>
  <c r="D35" i="4"/>
  <c r="R34" i="4"/>
  <c r="I34" i="4"/>
  <c r="T34" i="4" s="1"/>
  <c r="H34" i="4"/>
  <c r="J34" i="4" s="1"/>
  <c r="G34" i="4"/>
  <c r="F34" i="4"/>
  <c r="E34" i="4"/>
  <c r="D34" i="4"/>
  <c r="R33" i="4"/>
  <c r="I33" i="4"/>
  <c r="T33" i="4" s="1"/>
  <c r="H33" i="4"/>
  <c r="J33" i="4" s="1"/>
  <c r="G33" i="4"/>
  <c r="F33" i="4"/>
  <c r="E33" i="4"/>
  <c r="D33" i="4"/>
  <c r="R32" i="4"/>
  <c r="I32" i="4"/>
  <c r="T32" i="4" s="1"/>
  <c r="H32" i="4"/>
  <c r="J32" i="4" s="1"/>
  <c r="G32" i="4"/>
  <c r="F32" i="4"/>
  <c r="E32" i="4"/>
  <c r="D32" i="4"/>
  <c r="R31" i="4"/>
  <c r="I31" i="4"/>
  <c r="T31" i="4" s="1"/>
  <c r="H31" i="4"/>
  <c r="J31" i="4" s="1"/>
  <c r="G31" i="4"/>
  <c r="F31" i="4"/>
  <c r="E31" i="4"/>
  <c r="D31" i="4"/>
  <c r="R30" i="4"/>
  <c r="I30" i="4"/>
  <c r="T30" i="4" s="1"/>
  <c r="H30" i="4"/>
  <c r="J30" i="4" s="1"/>
  <c r="G30" i="4"/>
  <c r="F30" i="4"/>
  <c r="E30" i="4"/>
  <c r="D30" i="4"/>
  <c r="R29" i="4"/>
  <c r="I29" i="4"/>
  <c r="T29" i="4" s="1"/>
  <c r="H29" i="4"/>
  <c r="J29" i="4" s="1"/>
  <c r="G29" i="4"/>
  <c r="F29" i="4"/>
  <c r="E29" i="4"/>
  <c r="D29" i="4"/>
  <c r="R28" i="4"/>
  <c r="I28" i="4"/>
  <c r="T28" i="4" s="1"/>
  <c r="H28" i="4"/>
  <c r="J28" i="4" s="1"/>
  <c r="G28" i="4"/>
  <c r="F28" i="4"/>
  <c r="E28" i="4"/>
  <c r="D28" i="4"/>
  <c r="R27" i="4"/>
  <c r="Q109" i="4"/>
  <c r="I27" i="4"/>
  <c r="H27" i="4"/>
  <c r="J27" i="4" s="1"/>
  <c r="G27" i="4"/>
  <c r="F27" i="4"/>
  <c r="E27" i="4"/>
  <c r="D27" i="4"/>
  <c r="R26" i="4"/>
  <c r="I26" i="4"/>
  <c r="T26" i="4" s="1"/>
  <c r="H26" i="4"/>
  <c r="J26" i="4" s="1"/>
  <c r="G26" i="4"/>
  <c r="F26" i="4"/>
  <c r="E26" i="4"/>
  <c r="D26" i="4"/>
  <c r="R25" i="4"/>
  <c r="S25" i="4"/>
  <c r="I25" i="4"/>
  <c r="T25" i="4" s="1"/>
  <c r="H25" i="4"/>
  <c r="J25" i="4" s="1"/>
  <c r="G25" i="4"/>
  <c r="F25" i="4"/>
  <c r="E25" i="4"/>
  <c r="D25" i="4"/>
  <c r="R24" i="4"/>
  <c r="I24" i="4"/>
  <c r="T24" i="4" s="1"/>
  <c r="H24" i="4"/>
  <c r="J24" i="4" s="1"/>
  <c r="G24" i="4"/>
  <c r="F24" i="4"/>
  <c r="E24" i="4"/>
  <c r="D24" i="4"/>
  <c r="R23" i="4"/>
  <c r="I23" i="4"/>
  <c r="T23" i="4" s="1"/>
  <c r="H23" i="4"/>
  <c r="J23" i="4" s="1"/>
  <c r="G23" i="4"/>
  <c r="F23" i="4"/>
  <c r="E23" i="4"/>
  <c r="D23" i="4"/>
  <c r="R22" i="4"/>
  <c r="I22" i="4"/>
  <c r="T22" i="4" s="1"/>
  <c r="H22" i="4"/>
  <c r="J22" i="4" s="1"/>
  <c r="G22" i="4"/>
  <c r="F22" i="4"/>
  <c r="E22" i="4"/>
  <c r="D22" i="4"/>
  <c r="T21" i="4"/>
  <c r="R21" i="4"/>
  <c r="I21" i="4"/>
  <c r="H21" i="4"/>
  <c r="J21" i="4" s="1"/>
  <c r="G21" i="4"/>
  <c r="F21" i="4"/>
  <c r="E21" i="4"/>
  <c r="D21" i="4"/>
  <c r="T20" i="4"/>
  <c r="R20" i="4"/>
  <c r="I20" i="4"/>
  <c r="H20" i="4"/>
  <c r="J20" i="4" s="1"/>
  <c r="G20" i="4"/>
  <c r="F20" i="4"/>
  <c r="E20" i="4"/>
  <c r="D20" i="4"/>
  <c r="R19" i="4"/>
  <c r="I19" i="4"/>
  <c r="T19" i="4" s="1"/>
  <c r="H19" i="4"/>
  <c r="J19" i="4" s="1"/>
  <c r="G19" i="4"/>
  <c r="F19" i="4"/>
  <c r="E19" i="4"/>
  <c r="D19" i="4"/>
  <c r="R18" i="4"/>
  <c r="I18" i="4"/>
  <c r="T18" i="4" s="1"/>
  <c r="H18" i="4"/>
  <c r="J18" i="4" s="1"/>
  <c r="G18" i="4"/>
  <c r="F18" i="4"/>
  <c r="E18" i="4"/>
  <c r="D18" i="4"/>
  <c r="R17" i="4"/>
  <c r="I17" i="4"/>
  <c r="T17" i="4" s="1"/>
  <c r="H17" i="4"/>
  <c r="J17" i="4" s="1"/>
  <c r="G17" i="4"/>
  <c r="F17" i="4"/>
  <c r="E17" i="4"/>
  <c r="D17" i="4"/>
  <c r="R16" i="4"/>
  <c r="I16" i="4"/>
  <c r="T16" i="4" s="1"/>
  <c r="H16" i="4"/>
  <c r="J16" i="4" s="1"/>
  <c r="G16" i="4"/>
  <c r="F16" i="4"/>
  <c r="E16" i="4"/>
  <c r="D16" i="4"/>
  <c r="Q108" i="4"/>
  <c r="R15" i="4"/>
  <c r="I15" i="4"/>
  <c r="T15" i="4" s="1"/>
  <c r="H15" i="4"/>
  <c r="J15" i="4" s="1"/>
  <c r="G15" i="4"/>
  <c r="F15" i="4"/>
  <c r="E15" i="4"/>
  <c r="D15" i="4"/>
  <c r="R14" i="4"/>
  <c r="I14" i="4"/>
  <c r="T14" i="4" s="1"/>
  <c r="H14" i="4"/>
  <c r="J14" i="4" s="1"/>
  <c r="G14" i="4"/>
  <c r="F14" i="4"/>
  <c r="E14" i="4"/>
  <c r="D14" i="4"/>
  <c r="T13" i="4"/>
  <c r="R13" i="4"/>
  <c r="I13" i="4"/>
  <c r="H13" i="4"/>
  <c r="J13" i="4" s="1"/>
  <c r="G13" i="4"/>
  <c r="F13" i="4"/>
  <c r="E13" i="4"/>
  <c r="D13" i="4"/>
  <c r="R12" i="4"/>
  <c r="I12" i="4"/>
  <c r="T12" i="4" s="1"/>
  <c r="H12" i="4"/>
  <c r="J12" i="4" s="1"/>
  <c r="G12" i="4"/>
  <c r="F12" i="4"/>
  <c r="E12" i="4"/>
  <c r="D12" i="4"/>
  <c r="R11" i="4"/>
  <c r="I11" i="4"/>
  <c r="T11" i="4" s="1"/>
  <c r="H11" i="4"/>
  <c r="S11" i="4" s="1"/>
  <c r="G11" i="4"/>
  <c r="F11" i="4"/>
  <c r="E11" i="4"/>
  <c r="D11" i="4"/>
  <c r="R10" i="4"/>
  <c r="I10" i="4"/>
  <c r="T10" i="4" s="1"/>
  <c r="H10" i="4"/>
  <c r="S10" i="4" s="1"/>
  <c r="G10" i="4"/>
  <c r="F10" i="4"/>
  <c r="E10" i="4"/>
  <c r="D10" i="4"/>
  <c r="R9" i="4"/>
  <c r="I9" i="4"/>
  <c r="T9" i="4" s="1"/>
  <c r="H9" i="4"/>
  <c r="J9" i="4" s="1"/>
  <c r="G9" i="4"/>
  <c r="F9" i="4"/>
  <c r="E9" i="4"/>
  <c r="D9" i="4"/>
  <c r="R8" i="4"/>
  <c r="I8" i="4"/>
  <c r="T8" i="4" s="1"/>
  <c r="H8" i="4"/>
  <c r="G8" i="4"/>
  <c r="F8" i="4"/>
  <c r="E8" i="4"/>
  <c r="D8" i="4"/>
  <c r="R7" i="4"/>
  <c r="I7" i="4"/>
  <c r="T7" i="4" s="1"/>
  <c r="H7" i="4"/>
  <c r="J7" i="4" s="1"/>
  <c r="G7" i="4"/>
  <c r="F7" i="4"/>
  <c r="E7" i="4"/>
  <c r="D7" i="4"/>
  <c r="R6" i="4"/>
  <c r="I6" i="4"/>
  <c r="T6" i="4" s="1"/>
  <c r="H6" i="4"/>
  <c r="J6" i="4" s="1"/>
  <c r="G6" i="4"/>
  <c r="F6" i="4"/>
  <c r="E6" i="4"/>
  <c r="D6" i="4"/>
  <c r="R5" i="4"/>
  <c r="I5" i="4"/>
  <c r="T5" i="4" s="1"/>
  <c r="H5" i="4"/>
  <c r="J5" i="4" s="1"/>
  <c r="G5" i="4"/>
  <c r="F5" i="4"/>
  <c r="E5" i="4"/>
  <c r="D5" i="4"/>
  <c r="R4" i="4"/>
  <c r="I4" i="4"/>
  <c r="T4" i="4" s="1"/>
  <c r="H4" i="4"/>
  <c r="J4" i="4" s="1"/>
  <c r="G4" i="4"/>
  <c r="F4" i="4"/>
  <c r="E4" i="4"/>
  <c r="D4" i="4"/>
  <c r="R3" i="4"/>
  <c r="I3" i="4"/>
  <c r="H3" i="4"/>
  <c r="S3" i="4" s="1"/>
  <c r="G3" i="4"/>
  <c r="F3" i="4"/>
  <c r="E3" i="4"/>
  <c r="D3" i="4"/>
  <c r="Q106" i="3"/>
  <c r="P106" i="3"/>
  <c r="R106" i="3" s="1"/>
  <c r="O106" i="3"/>
  <c r="N106" i="3"/>
  <c r="M106" i="3"/>
  <c r="L106" i="3"/>
  <c r="I106" i="3"/>
  <c r="H106" i="3"/>
  <c r="J106" i="3" s="1"/>
  <c r="G106" i="3"/>
  <c r="F106" i="3"/>
  <c r="E106" i="3"/>
  <c r="D106" i="3"/>
  <c r="Q105" i="3"/>
  <c r="T105" i="3" s="1"/>
  <c r="P105" i="3"/>
  <c r="R105" i="3" s="1"/>
  <c r="O105" i="3"/>
  <c r="N105" i="3"/>
  <c r="M105" i="3"/>
  <c r="L105" i="3"/>
  <c r="I105" i="3"/>
  <c r="H105" i="3"/>
  <c r="J105" i="3" s="1"/>
  <c r="G105" i="3"/>
  <c r="F105" i="3"/>
  <c r="E105" i="3"/>
  <c r="D105" i="3"/>
  <c r="Q104" i="3"/>
  <c r="P104" i="3"/>
  <c r="R104" i="3" s="1"/>
  <c r="O104" i="3"/>
  <c r="N104" i="3"/>
  <c r="M104" i="3"/>
  <c r="L104" i="3"/>
  <c r="I104" i="3"/>
  <c r="T104" i="3" s="1"/>
  <c r="H104" i="3"/>
  <c r="J104" i="3" s="1"/>
  <c r="G104" i="3"/>
  <c r="F104" i="3"/>
  <c r="E104" i="3"/>
  <c r="D104" i="3"/>
  <c r="Q103" i="3"/>
  <c r="P103" i="3"/>
  <c r="O103" i="3"/>
  <c r="N103" i="3"/>
  <c r="M103" i="3"/>
  <c r="L103" i="3"/>
  <c r="I103" i="3"/>
  <c r="H103" i="3"/>
  <c r="J103" i="3" s="1"/>
  <c r="G103" i="3"/>
  <c r="F103" i="3"/>
  <c r="E103" i="3"/>
  <c r="D103" i="3"/>
  <c r="Q102" i="3"/>
  <c r="P102" i="3"/>
  <c r="O102" i="3"/>
  <c r="N102" i="3"/>
  <c r="M102" i="3"/>
  <c r="L102" i="3"/>
  <c r="I102" i="3"/>
  <c r="H102" i="3"/>
  <c r="J102" i="3" s="1"/>
  <c r="G102" i="3"/>
  <c r="F102" i="3"/>
  <c r="E102" i="3"/>
  <c r="D102" i="3"/>
  <c r="Q101" i="3"/>
  <c r="P101" i="3"/>
  <c r="O101" i="3"/>
  <c r="N101" i="3"/>
  <c r="M101" i="3"/>
  <c r="L101" i="3"/>
  <c r="I101" i="3"/>
  <c r="H101" i="3"/>
  <c r="J101" i="3" s="1"/>
  <c r="G101" i="3"/>
  <c r="F101" i="3"/>
  <c r="E101" i="3"/>
  <c r="D101" i="3"/>
  <c r="Q100" i="3"/>
  <c r="P100" i="3"/>
  <c r="O100" i="3"/>
  <c r="N100" i="3"/>
  <c r="M100" i="3"/>
  <c r="L100" i="3"/>
  <c r="I100" i="3"/>
  <c r="H100" i="3"/>
  <c r="J100" i="3" s="1"/>
  <c r="G100" i="3"/>
  <c r="F100" i="3"/>
  <c r="E100" i="3"/>
  <c r="D100" i="3"/>
  <c r="Q99" i="3"/>
  <c r="T99" i="3" s="1"/>
  <c r="P99" i="3"/>
  <c r="R99" i="3" s="1"/>
  <c r="O99" i="3"/>
  <c r="N99" i="3"/>
  <c r="M99" i="3"/>
  <c r="L99" i="3"/>
  <c r="I99" i="3"/>
  <c r="H99" i="3"/>
  <c r="J99" i="3" s="1"/>
  <c r="G99" i="3"/>
  <c r="F99" i="3"/>
  <c r="E99" i="3"/>
  <c r="D99" i="3"/>
  <c r="T98" i="3"/>
  <c r="Q98" i="3"/>
  <c r="P98" i="3"/>
  <c r="R98" i="3" s="1"/>
  <c r="O98" i="3"/>
  <c r="N98" i="3"/>
  <c r="M98" i="3"/>
  <c r="L98" i="3"/>
  <c r="I98" i="3"/>
  <c r="H98" i="3"/>
  <c r="J98" i="3" s="1"/>
  <c r="G98" i="3"/>
  <c r="F98" i="3"/>
  <c r="E98" i="3"/>
  <c r="D98" i="3"/>
  <c r="Q97" i="3"/>
  <c r="P97" i="3"/>
  <c r="R97" i="3" s="1"/>
  <c r="O97" i="3"/>
  <c r="N97" i="3"/>
  <c r="M97" i="3"/>
  <c r="L97" i="3"/>
  <c r="I97" i="3"/>
  <c r="H97" i="3"/>
  <c r="J97" i="3" s="1"/>
  <c r="G97" i="3"/>
  <c r="F97" i="3"/>
  <c r="E97" i="3"/>
  <c r="D97" i="3"/>
  <c r="Q96" i="3"/>
  <c r="T96" i="3" s="1"/>
  <c r="P96" i="3"/>
  <c r="R96" i="3" s="1"/>
  <c r="O96" i="3"/>
  <c r="N96" i="3"/>
  <c r="M96" i="3"/>
  <c r="L96" i="3"/>
  <c r="I96" i="3"/>
  <c r="H96" i="3"/>
  <c r="J96" i="3" s="1"/>
  <c r="G96" i="3"/>
  <c r="F96" i="3"/>
  <c r="E96" i="3"/>
  <c r="D96" i="3"/>
  <c r="Q95" i="3"/>
  <c r="P95" i="3"/>
  <c r="R95" i="3" s="1"/>
  <c r="O95" i="3"/>
  <c r="N95" i="3"/>
  <c r="M95" i="3"/>
  <c r="L95" i="3"/>
  <c r="I95" i="3"/>
  <c r="H95" i="3"/>
  <c r="J95" i="3" s="1"/>
  <c r="G95" i="3"/>
  <c r="F95" i="3"/>
  <c r="E95" i="3"/>
  <c r="D95" i="3"/>
  <c r="Q94" i="3"/>
  <c r="P94" i="3"/>
  <c r="R94" i="3" s="1"/>
  <c r="O94" i="3"/>
  <c r="N94" i="3"/>
  <c r="M94" i="3"/>
  <c r="L94" i="3"/>
  <c r="I94" i="3"/>
  <c r="H94" i="3"/>
  <c r="J94" i="3" s="1"/>
  <c r="G94" i="3"/>
  <c r="F94" i="3"/>
  <c r="E94" i="3"/>
  <c r="D94" i="3"/>
  <c r="R93" i="3"/>
  <c r="Q93" i="3"/>
  <c r="P93" i="3"/>
  <c r="O93" i="3"/>
  <c r="N93" i="3"/>
  <c r="M93" i="3"/>
  <c r="L93" i="3"/>
  <c r="I93" i="3"/>
  <c r="T93" i="3" s="1"/>
  <c r="H93" i="3"/>
  <c r="J93" i="3" s="1"/>
  <c r="G93" i="3"/>
  <c r="F93" i="3"/>
  <c r="E93" i="3"/>
  <c r="D93" i="3"/>
  <c r="Q92" i="3"/>
  <c r="P92" i="3"/>
  <c r="O92" i="3"/>
  <c r="N92" i="3"/>
  <c r="M92" i="3"/>
  <c r="L92" i="3"/>
  <c r="I92" i="3"/>
  <c r="T92" i="3" s="1"/>
  <c r="H92" i="3"/>
  <c r="J92" i="3" s="1"/>
  <c r="G92" i="3"/>
  <c r="F92" i="3"/>
  <c r="E92" i="3"/>
  <c r="D92" i="3"/>
  <c r="Q91" i="3"/>
  <c r="P91" i="3"/>
  <c r="R91" i="3" s="1"/>
  <c r="O91" i="3"/>
  <c r="N91" i="3"/>
  <c r="M91" i="3"/>
  <c r="L91" i="3"/>
  <c r="I91" i="3"/>
  <c r="H91" i="3"/>
  <c r="J91" i="3" s="1"/>
  <c r="G91" i="3"/>
  <c r="F91" i="3"/>
  <c r="E91" i="3"/>
  <c r="D91" i="3"/>
  <c r="Q90" i="3"/>
  <c r="T90" i="3" s="1"/>
  <c r="P90" i="3"/>
  <c r="R90" i="3" s="1"/>
  <c r="O90" i="3"/>
  <c r="N90" i="3"/>
  <c r="M90" i="3"/>
  <c r="L90" i="3"/>
  <c r="I90" i="3"/>
  <c r="H90" i="3"/>
  <c r="J90" i="3" s="1"/>
  <c r="G90" i="3"/>
  <c r="F90" i="3"/>
  <c r="E90" i="3"/>
  <c r="D90" i="3"/>
  <c r="Q89" i="3"/>
  <c r="T89" i="3" s="1"/>
  <c r="P89" i="3"/>
  <c r="R89" i="3" s="1"/>
  <c r="O89" i="3"/>
  <c r="N89" i="3"/>
  <c r="M89" i="3"/>
  <c r="L89" i="3"/>
  <c r="I89" i="3"/>
  <c r="H89" i="3"/>
  <c r="J89" i="3" s="1"/>
  <c r="G89" i="3"/>
  <c r="F89" i="3"/>
  <c r="E89" i="3"/>
  <c r="D89" i="3"/>
  <c r="Q88" i="3"/>
  <c r="T88" i="3" s="1"/>
  <c r="P88" i="3"/>
  <c r="R88" i="3" s="1"/>
  <c r="O88" i="3"/>
  <c r="N88" i="3"/>
  <c r="M88" i="3"/>
  <c r="L88" i="3"/>
  <c r="I88" i="3"/>
  <c r="H88" i="3"/>
  <c r="J88" i="3" s="1"/>
  <c r="G88" i="3"/>
  <c r="F88" i="3"/>
  <c r="E88" i="3"/>
  <c r="D88" i="3"/>
  <c r="R87" i="3"/>
  <c r="Q87" i="3"/>
  <c r="P87" i="3"/>
  <c r="O87" i="3"/>
  <c r="N87" i="3"/>
  <c r="M87" i="3"/>
  <c r="L87" i="3"/>
  <c r="I87" i="3"/>
  <c r="H87" i="3"/>
  <c r="J87" i="3" s="1"/>
  <c r="G87" i="3"/>
  <c r="F87" i="3"/>
  <c r="E87" i="3"/>
  <c r="D87" i="3"/>
  <c r="R86" i="3"/>
  <c r="Q86" i="3"/>
  <c r="P86" i="3"/>
  <c r="O86" i="3"/>
  <c r="N86" i="3"/>
  <c r="M86" i="3"/>
  <c r="L86" i="3"/>
  <c r="I86" i="3"/>
  <c r="H86" i="3"/>
  <c r="J86" i="3" s="1"/>
  <c r="G86" i="3"/>
  <c r="F86" i="3"/>
  <c r="E86" i="3"/>
  <c r="D86" i="3"/>
  <c r="Q85" i="3"/>
  <c r="P85" i="3"/>
  <c r="R85" i="3" s="1"/>
  <c r="O85" i="3"/>
  <c r="N85" i="3"/>
  <c r="M85" i="3"/>
  <c r="L85" i="3"/>
  <c r="I85" i="3"/>
  <c r="T85" i="3" s="1"/>
  <c r="H85" i="3"/>
  <c r="J85" i="3" s="1"/>
  <c r="G85" i="3"/>
  <c r="F85" i="3"/>
  <c r="E85" i="3"/>
  <c r="D85" i="3"/>
  <c r="Q84" i="3"/>
  <c r="P84" i="3"/>
  <c r="O84" i="3"/>
  <c r="N84" i="3"/>
  <c r="M84" i="3"/>
  <c r="L84" i="3"/>
  <c r="I84" i="3"/>
  <c r="T84" i="3" s="1"/>
  <c r="H84" i="3"/>
  <c r="J84" i="3" s="1"/>
  <c r="G84" i="3"/>
  <c r="F84" i="3"/>
  <c r="E84" i="3"/>
  <c r="D84" i="3"/>
  <c r="Q83" i="3"/>
  <c r="P83" i="3"/>
  <c r="R83" i="3" s="1"/>
  <c r="O83" i="3"/>
  <c r="N83" i="3"/>
  <c r="M83" i="3"/>
  <c r="L83" i="3"/>
  <c r="I83" i="3"/>
  <c r="T83" i="3" s="1"/>
  <c r="H83" i="3"/>
  <c r="J83" i="3" s="1"/>
  <c r="G83" i="3"/>
  <c r="F83" i="3"/>
  <c r="E83" i="3"/>
  <c r="D83" i="3"/>
  <c r="Q82" i="3"/>
  <c r="P82" i="3"/>
  <c r="R82" i="3" s="1"/>
  <c r="O82" i="3"/>
  <c r="N82" i="3"/>
  <c r="M82" i="3"/>
  <c r="L82" i="3"/>
  <c r="I82" i="3"/>
  <c r="H82" i="3"/>
  <c r="J82" i="3" s="1"/>
  <c r="G82" i="3"/>
  <c r="F82" i="3"/>
  <c r="E82" i="3"/>
  <c r="D82" i="3"/>
  <c r="Q81" i="3"/>
  <c r="P81" i="3"/>
  <c r="R81" i="3" s="1"/>
  <c r="O81" i="3"/>
  <c r="N81" i="3"/>
  <c r="M81" i="3"/>
  <c r="L81" i="3"/>
  <c r="I81" i="3"/>
  <c r="H81" i="3"/>
  <c r="J81" i="3" s="1"/>
  <c r="G81" i="3"/>
  <c r="F81" i="3"/>
  <c r="E81" i="3"/>
  <c r="D81" i="3"/>
  <c r="Q80" i="3"/>
  <c r="P80" i="3"/>
  <c r="R80" i="3" s="1"/>
  <c r="O80" i="3"/>
  <c r="N80" i="3"/>
  <c r="M80" i="3"/>
  <c r="L80" i="3"/>
  <c r="I80" i="3"/>
  <c r="T80" i="3" s="1"/>
  <c r="H80" i="3"/>
  <c r="J80" i="3" s="1"/>
  <c r="G80" i="3"/>
  <c r="F80" i="3"/>
  <c r="E80" i="3"/>
  <c r="D80" i="3"/>
  <c r="Q79" i="3"/>
  <c r="P79" i="3"/>
  <c r="S79" i="3" s="1"/>
  <c r="O79" i="3"/>
  <c r="N79" i="3"/>
  <c r="M79" i="3"/>
  <c r="L79" i="3"/>
  <c r="J79" i="3"/>
  <c r="I79" i="3"/>
  <c r="H79" i="3"/>
  <c r="G79" i="3"/>
  <c r="F79" i="3"/>
  <c r="E79" i="3"/>
  <c r="D79" i="3"/>
  <c r="S78" i="3"/>
  <c r="J78" i="3"/>
  <c r="T77" i="3"/>
  <c r="S77" i="3"/>
  <c r="J77" i="3"/>
  <c r="S76" i="3"/>
  <c r="J76" i="3"/>
  <c r="R75" i="3"/>
  <c r="S75" i="3"/>
  <c r="T75" i="3"/>
  <c r="J75" i="3"/>
  <c r="R74" i="3"/>
  <c r="S74" i="3"/>
  <c r="J74" i="3"/>
  <c r="R73" i="3"/>
  <c r="S73" i="3"/>
  <c r="T73" i="3"/>
  <c r="J73" i="3"/>
  <c r="R72" i="3"/>
  <c r="S72" i="3"/>
  <c r="J72" i="3"/>
  <c r="T71" i="3"/>
  <c r="S71" i="3"/>
  <c r="J71" i="3"/>
  <c r="S70" i="3"/>
  <c r="J70" i="3"/>
  <c r="T69" i="3"/>
  <c r="S69" i="3"/>
  <c r="J69" i="3"/>
  <c r="S68" i="3"/>
  <c r="J68" i="3"/>
  <c r="R67" i="3"/>
  <c r="S67" i="3"/>
  <c r="T67" i="3"/>
  <c r="J67" i="3"/>
  <c r="R66" i="3"/>
  <c r="S66" i="3"/>
  <c r="J66" i="3"/>
  <c r="C66" i="3"/>
  <c r="S65" i="3"/>
  <c r="T65" i="3"/>
  <c r="R65" i="3"/>
  <c r="J65" i="3"/>
  <c r="C65" i="3"/>
  <c r="J64" i="3"/>
  <c r="C64" i="3"/>
  <c r="S63" i="3"/>
  <c r="R63" i="3"/>
  <c r="J63" i="3"/>
  <c r="I111" i="3"/>
  <c r="C63" i="3"/>
  <c r="I62" i="3"/>
  <c r="H62" i="3"/>
  <c r="J62" i="3" s="1"/>
  <c r="G62" i="3"/>
  <c r="F62" i="3"/>
  <c r="E62" i="3"/>
  <c r="D62" i="3"/>
  <c r="I61" i="3"/>
  <c r="T61" i="3" s="1"/>
  <c r="H61" i="3"/>
  <c r="J61" i="3" s="1"/>
  <c r="G61" i="3"/>
  <c r="F61" i="3"/>
  <c r="E61" i="3"/>
  <c r="D61" i="3"/>
  <c r="I60" i="3"/>
  <c r="H60" i="3"/>
  <c r="J60" i="3" s="1"/>
  <c r="G60" i="3"/>
  <c r="F60" i="3"/>
  <c r="E60" i="3"/>
  <c r="D60" i="3"/>
  <c r="R59" i="3"/>
  <c r="I59" i="3"/>
  <c r="T59" i="3" s="1"/>
  <c r="H59" i="3"/>
  <c r="J59" i="3" s="1"/>
  <c r="G59" i="3"/>
  <c r="F59" i="3"/>
  <c r="E59" i="3"/>
  <c r="D59" i="3"/>
  <c r="R58" i="3"/>
  <c r="I58" i="3"/>
  <c r="H58" i="3"/>
  <c r="J58" i="3" s="1"/>
  <c r="G58" i="3"/>
  <c r="F58" i="3"/>
  <c r="E58" i="3"/>
  <c r="D58" i="3"/>
  <c r="R57" i="3"/>
  <c r="S57" i="3"/>
  <c r="I57" i="3"/>
  <c r="T57" i="3" s="1"/>
  <c r="H57" i="3"/>
  <c r="J57" i="3" s="1"/>
  <c r="G57" i="3"/>
  <c r="F57" i="3"/>
  <c r="E57" i="3"/>
  <c r="D57" i="3"/>
  <c r="R56" i="3"/>
  <c r="I56" i="3"/>
  <c r="H56" i="3"/>
  <c r="J56" i="3" s="1"/>
  <c r="G56" i="3"/>
  <c r="F56" i="3"/>
  <c r="E56" i="3"/>
  <c r="D56" i="3"/>
  <c r="I55" i="3"/>
  <c r="T55" i="3" s="1"/>
  <c r="H55" i="3"/>
  <c r="J55" i="3" s="1"/>
  <c r="G55" i="3"/>
  <c r="F55" i="3"/>
  <c r="E55" i="3"/>
  <c r="D55" i="3"/>
  <c r="R54" i="3"/>
  <c r="I54" i="3"/>
  <c r="H54" i="3"/>
  <c r="J54" i="3" s="1"/>
  <c r="G54" i="3"/>
  <c r="F54" i="3"/>
  <c r="E54" i="3"/>
  <c r="D54" i="3"/>
  <c r="I53" i="3"/>
  <c r="T53" i="3" s="1"/>
  <c r="H53" i="3"/>
  <c r="J53" i="3" s="1"/>
  <c r="G53" i="3"/>
  <c r="F53" i="3"/>
  <c r="E53" i="3"/>
  <c r="D53" i="3"/>
  <c r="S52" i="3"/>
  <c r="I52" i="3"/>
  <c r="H52" i="3"/>
  <c r="J52" i="3" s="1"/>
  <c r="G52" i="3"/>
  <c r="F52" i="3"/>
  <c r="E52" i="3"/>
  <c r="D52" i="3"/>
  <c r="S51" i="3"/>
  <c r="I51" i="3"/>
  <c r="T51" i="3" s="1"/>
  <c r="H51" i="3"/>
  <c r="J51" i="3" s="1"/>
  <c r="G51" i="3"/>
  <c r="F51" i="3"/>
  <c r="E51" i="3"/>
  <c r="D51" i="3"/>
  <c r="I50" i="3"/>
  <c r="H50" i="3"/>
  <c r="S50" i="3" s="1"/>
  <c r="G50" i="3"/>
  <c r="F50" i="3"/>
  <c r="E50" i="3"/>
  <c r="D50" i="3"/>
  <c r="I49" i="3"/>
  <c r="T49" i="3" s="1"/>
  <c r="H49" i="3"/>
  <c r="G49" i="3"/>
  <c r="F49" i="3"/>
  <c r="E49" i="3"/>
  <c r="D49" i="3"/>
  <c r="I48" i="3"/>
  <c r="H48" i="3"/>
  <c r="S48" i="3" s="1"/>
  <c r="G48" i="3"/>
  <c r="F48" i="3"/>
  <c r="E48" i="3"/>
  <c r="D48" i="3"/>
  <c r="R47" i="3"/>
  <c r="I47" i="3"/>
  <c r="H47" i="3"/>
  <c r="S47" i="3" s="1"/>
  <c r="G47" i="3"/>
  <c r="F47" i="3"/>
  <c r="E47" i="3"/>
  <c r="D47" i="3"/>
  <c r="Q46" i="3"/>
  <c r="T46" i="3" s="1"/>
  <c r="P46" i="3"/>
  <c r="R46" i="3" s="1"/>
  <c r="O46" i="3"/>
  <c r="N46" i="3"/>
  <c r="M46" i="3"/>
  <c r="L46" i="3"/>
  <c r="I46" i="3"/>
  <c r="H46" i="3"/>
  <c r="G46" i="3"/>
  <c r="F46" i="3"/>
  <c r="E46" i="3"/>
  <c r="D46" i="3"/>
  <c r="R45" i="3"/>
  <c r="Q45" i="3"/>
  <c r="T45" i="3" s="1"/>
  <c r="P45" i="3"/>
  <c r="O45" i="3"/>
  <c r="N45" i="3"/>
  <c r="M45" i="3"/>
  <c r="L45" i="3"/>
  <c r="I45" i="3"/>
  <c r="H45" i="3"/>
  <c r="S45" i="3" s="1"/>
  <c r="G45" i="3"/>
  <c r="F45" i="3"/>
  <c r="E45" i="3"/>
  <c r="D45" i="3"/>
  <c r="R44" i="3"/>
  <c r="Q44" i="3"/>
  <c r="P44" i="3"/>
  <c r="O44" i="3"/>
  <c r="N44" i="3"/>
  <c r="M44" i="3"/>
  <c r="L44" i="3"/>
  <c r="I44" i="3"/>
  <c r="H44" i="3"/>
  <c r="S44" i="3" s="1"/>
  <c r="G44" i="3"/>
  <c r="F44" i="3"/>
  <c r="E44" i="3"/>
  <c r="D44" i="3"/>
  <c r="Q43" i="3"/>
  <c r="P43" i="3"/>
  <c r="O43" i="3"/>
  <c r="N43" i="3"/>
  <c r="M43" i="3"/>
  <c r="L43" i="3"/>
  <c r="I43" i="3"/>
  <c r="H43" i="3"/>
  <c r="J43" i="3" s="1"/>
  <c r="G43" i="3"/>
  <c r="F43" i="3"/>
  <c r="E43" i="3"/>
  <c r="D43" i="3"/>
  <c r="Q42" i="3"/>
  <c r="P42" i="3"/>
  <c r="O42" i="3"/>
  <c r="N42" i="3"/>
  <c r="M42" i="3"/>
  <c r="L42" i="3"/>
  <c r="J42" i="3"/>
  <c r="I42" i="3"/>
  <c r="H42" i="3"/>
  <c r="G42" i="3"/>
  <c r="F42" i="3"/>
  <c r="E42" i="3"/>
  <c r="D42" i="3"/>
  <c r="Q41" i="3"/>
  <c r="T41" i="3" s="1"/>
  <c r="P41" i="3"/>
  <c r="S41" i="3" s="1"/>
  <c r="O41" i="3"/>
  <c r="N41" i="3"/>
  <c r="M41" i="3"/>
  <c r="L41" i="3"/>
  <c r="I41" i="3"/>
  <c r="H41" i="3"/>
  <c r="J41" i="3" s="1"/>
  <c r="G41" i="3"/>
  <c r="F41" i="3"/>
  <c r="E41" i="3"/>
  <c r="D41" i="3"/>
  <c r="T40" i="3"/>
  <c r="Q40" i="3"/>
  <c r="P40" i="3"/>
  <c r="O40" i="3"/>
  <c r="N40" i="3"/>
  <c r="M40" i="3"/>
  <c r="L40" i="3"/>
  <c r="I40" i="3"/>
  <c r="H40" i="3"/>
  <c r="J40" i="3" s="1"/>
  <c r="G40" i="3"/>
  <c r="F40" i="3"/>
  <c r="E40" i="3"/>
  <c r="D40" i="3"/>
  <c r="Q39" i="3"/>
  <c r="P39" i="3"/>
  <c r="R39" i="3" s="1"/>
  <c r="O39" i="3"/>
  <c r="N39" i="3"/>
  <c r="M39" i="3"/>
  <c r="L39" i="3"/>
  <c r="I39" i="3"/>
  <c r="H39" i="3"/>
  <c r="G39" i="3"/>
  <c r="F39" i="3"/>
  <c r="E39" i="3"/>
  <c r="D39" i="3"/>
  <c r="Q38" i="3"/>
  <c r="T38" i="3" s="1"/>
  <c r="P38" i="3"/>
  <c r="R38" i="3" s="1"/>
  <c r="O38" i="3"/>
  <c r="N38" i="3"/>
  <c r="M38" i="3"/>
  <c r="L38" i="3"/>
  <c r="I38" i="3"/>
  <c r="H38" i="3"/>
  <c r="G38" i="3"/>
  <c r="F38" i="3"/>
  <c r="E38" i="3"/>
  <c r="D38" i="3"/>
  <c r="R37" i="3"/>
  <c r="Q37" i="3"/>
  <c r="T37" i="3" s="1"/>
  <c r="P37" i="3"/>
  <c r="O37" i="3"/>
  <c r="N37" i="3"/>
  <c r="M37" i="3"/>
  <c r="L37" i="3"/>
  <c r="I37" i="3"/>
  <c r="H37" i="3"/>
  <c r="S37" i="3" s="1"/>
  <c r="G37" i="3"/>
  <c r="F37" i="3"/>
  <c r="E37" i="3"/>
  <c r="D37" i="3"/>
  <c r="R36" i="3"/>
  <c r="Q36" i="3"/>
  <c r="P36" i="3"/>
  <c r="O36" i="3"/>
  <c r="N36" i="3"/>
  <c r="M36" i="3"/>
  <c r="L36" i="3"/>
  <c r="I36" i="3"/>
  <c r="H36" i="3"/>
  <c r="S36" i="3" s="1"/>
  <c r="G36" i="3"/>
  <c r="F36" i="3"/>
  <c r="E36" i="3"/>
  <c r="D36" i="3"/>
  <c r="Q35" i="3"/>
  <c r="P35" i="3"/>
  <c r="R35" i="3" s="1"/>
  <c r="O35" i="3"/>
  <c r="N35" i="3"/>
  <c r="M35" i="3"/>
  <c r="L35" i="3"/>
  <c r="J35" i="3"/>
  <c r="I35" i="3"/>
  <c r="H35" i="3"/>
  <c r="G35" i="3"/>
  <c r="F35" i="3"/>
  <c r="E35" i="3"/>
  <c r="D35" i="3"/>
  <c r="Q34" i="3"/>
  <c r="T34" i="3" s="1"/>
  <c r="P34" i="3"/>
  <c r="R34" i="3" s="1"/>
  <c r="O34" i="3"/>
  <c r="N34" i="3"/>
  <c r="M34" i="3"/>
  <c r="L34" i="3"/>
  <c r="I34" i="3"/>
  <c r="H34" i="3"/>
  <c r="J34" i="3" s="1"/>
  <c r="G34" i="3"/>
  <c r="F34" i="3"/>
  <c r="E34" i="3"/>
  <c r="D34" i="3"/>
  <c r="Q33" i="3"/>
  <c r="T33" i="3" s="1"/>
  <c r="P33" i="3"/>
  <c r="R33" i="3" s="1"/>
  <c r="O33" i="3"/>
  <c r="N33" i="3"/>
  <c r="M33" i="3"/>
  <c r="L33" i="3"/>
  <c r="I33" i="3"/>
  <c r="H33" i="3"/>
  <c r="J33" i="3" s="1"/>
  <c r="G33" i="3"/>
  <c r="F33" i="3"/>
  <c r="E33" i="3"/>
  <c r="D33" i="3"/>
  <c r="Q32" i="3"/>
  <c r="P32" i="3"/>
  <c r="R32" i="3" s="1"/>
  <c r="O32" i="3"/>
  <c r="N32" i="3"/>
  <c r="M32" i="3"/>
  <c r="L32" i="3"/>
  <c r="I32" i="3"/>
  <c r="H32" i="3"/>
  <c r="J32" i="3" s="1"/>
  <c r="G32" i="3"/>
  <c r="F32" i="3"/>
  <c r="E32" i="3"/>
  <c r="D32" i="3"/>
  <c r="Q31" i="3"/>
  <c r="P31" i="3"/>
  <c r="R31" i="3" s="1"/>
  <c r="O31" i="3"/>
  <c r="N31" i="3"/>
  <c r="M31" i="3"/>
  <c r="L31" i="3"/>
  <c r="I31" i="3"/>
  <c r="H31" i="3"/>
  <c r="G31" i="3"/>
  <c r="F31" i="3"/>
  <c r="E31" i="3"/>
  <c r="D31" i="3"/>
  <c r="Q30" i="3"/>
  <c r="P30" i="3"/>
  <c r="R30" i="3" s="1"/>
  <c r="O30" i="3"/>
  <c r="N30" i="3"/>
  <c r="M30" i="3"/>
  <c r="L30" i="3"/>
  <c r="I30" i="3"/>
  <c r="H30" i="3"/>
  <c r="G30" i="3"/>
  <c r="F30" i="3"/>
  <c r="E30" i="3"/>
  <c r="D30" i="3"/>
  <c r="Q29" i="3"/>
  <c r="P29" i="3"/>
  <c r="R29" i="3" s="1"/>
  <c r="O29" i="3"/>
  <c r="N29" i="3"/>
  <c r="M29" i="3"/>
  <c r="L29" i="3"/>
  <c r="I29" i="3"/>
  <c r="H29" i="3"/>
  <c r="G29" i="3"/>
  <c r="F29" i="3"/>
  <c r="E29" i="3"/>
  <c r="D29" i="3"/>
  <c r="Q28" i="3"/>
  <c r="P28" i="3"/>
  <c r="R28" i="3" s="1"/>
  <c r="O28" i="3"/>
  <c r="N28" i="3"/>
  <c r="M28" i="3"/>
  <c r="L28" i="3"/>
  <c r="I28" i="3"/>
  <c r="H28" i="3"/>
  <c r="G28" i="3"/>
  <c r="F28" i="3"/>
  <c r="E28" i="3"/>
  <c r="D28" i="3"/>
  <c r="Q27" i="3"/>
  <c r="P27" i="3"/>
  <c r="O27" i="3"/>
  <c r="N27" i="3"/>
  <c r="M27" i="3"/>
  <c r="L27" i="3"/>
  <c r="I27" i="3"/>
  <c r="H27" i="3"/>
  <c r="J27" i="3" s="1"/>
  <c r="G27" i="3"/>
  <c r="F27" i="3"/>
  <c r="E27" i="3"/>
  <c r="D27" i="3"/>
  <c r="Q26" i="3"/>
  <c r="T26" i="3" s="1"/>
  <c r="P26" i="3"/>
  <c r="R26" i="3" s="1"/>
  <c r="O26" i="3"/>
  <c r="N26" i="3"/>
  <c r="M26" i="3"/>
  <c r="L26" i="3"/>
  <c r="I26" i="3"/>
  <c r="H26" i="3"/>
  <c r="J26" i="3" s="1"/>
  <c r="G26" i="3"/>
  <c r="F26" i="3"/>
  <c r="E26" i="3"/>
  <c r="D26" i="3"/>
  <c r="Q25" i="3"/>
  <c r="T25" i="3" s="1"/>
  <c r="P25" i="3"/>
  <c r="R25" i="3" s="1"/>
  <c r="O25" i="3"/>
  <c r="N25" i="3"/>
  <c r="M25" i="3"/>
  <c r="L25" i="3"/>
  <c r="I25" i="3"/>
  <c r="H25" i="3"/>
  <c r="J25" i="3" s="1"/>
  <c r="G25" i="3"/>
  <c r="F25" i="3"/>
  <c r="E25" i="3"/>
  <c r="D25" i="3"/>
  <c r="Q24" i="3"/>
  <c r="P24" i="3"/>
  <c r="R24" i="3" s="1"/>
  <c r="O24" i="3"/>
  <c r="N24" i="3"/>
  <c r="M24" i="3"/>
  <c r="L24" i="3"/>
  <c r="I24" i="3"/>
  <c r="H24" i="3"/>
  <c r="J24" i="3" s="1"/>
  <c r="G24" i="3"/>
  <c r="F24" i="3"/>
  <c r="E24" i="3"/>
  <c r="D24" i="3"/>
  <c r="Q23" i="3"/>
  <c r="P23" i="3"/>
  <c r="R23" i="3" s="1"/>
  <c r="O23" i="3"/>
  <c r="N23" i="3"/>
  <c r="M23" i="3"/>
  <c r="L23" i="3"/>
  <c r="I23" i="3"/>
  <c r="H23" i="3"/>
  <c r="G23" i="3"/>
  <c r="F23" i="3"/>
  <c r="E23" i="3"/>
  <c r="D23" i="3"/>
  <c r="Q22" i="3"/>
  <c r="P22" i="3"/>
  <c r="R22" i="3" s="1"/>
  <c r="O22" i="3"/>
  <c r="N22" i="3"/>
  <c r="M22" i="3"/>
  <c r="L22" i="3"/>
  <c r="I22" i="3"/>
  <c r="H22" i="3"/>
  <c r="G22" i="3"/>
  <c r="F22" i="3"/>
  <c r="E22" i="3"/>
  <c r="D22" i="3"/>
  <c r="Q21" i="3"/>
  <c r="P21" i="3"/>
  <c r="R21" i="3" s="1"/>
  <c r="O21" i="3"/>
  <c r="N21" i="3"/>
  <c r="M21" i="3"/>
  <c r="L21" i="3"/>
  <c r="I21" i="3"/>
  <c r="H21" i="3"/>
  <c r="G21" i="3"/>
  <c r="F21" i="3"/>
  <c r="E21" i="3"/>
  <c r="D21" i="3"/>
  <c r="Q20" i="3"/>
  <c r="P20" i="3"/>
  <c r="R20" i="3" s="1"/>
  <c r="O20" i="3"/>
  <c r="N20" i="3"/>
  <c r="M20" i="3"/>
  <c r="L20" i="3"/>
  <c r="I20" i="3"/>
  <c r="H20" i="3"/>
  <c r="G20" i="3"/>
  <c r="F20" i="3"/>
  <c r="E20" i="3"/>
  <c r="D20" i="3"/>
  <c r="Q19" i="3"/>
  <c r="T19" i="3" s="1"/>
  <c r="P19" i="3"/>
  <c r="O19" i="3"/>
  <c r="N19" i="3"/>
  <c r="M19" i="3"/>
  <c r="L19" i="3"/>
  <c r="I19" i="3"/>
  <c r="H19" i="3"/>
  <c r="J19" i="3" s="1"/>
  <c r="G19" i="3"/>
  <c r="F19" i="3"/>
  <c r="E19" i="3"/>
  <c r="D19" i="3"/>
  <c r="Q18" i="3"/>
  <c r="T18" i="3" s="1"/>
  <c r="P18" i="3"/>
  <c r="R18" i="3" s="1"/>
  <c r="O18" i="3"/>
  <c r="N18" i="3"/>
  <c r="M18" i="3"/>
  <c r="L18" i="3"/>
  <c r="I18" i="3"/>
  <c r="H18" i="3"/>
  <c r="J18" i="3" s="1"/>
  <c r="G18" i="3"/>
  <c r="F18" i="3"/>
  <c r="E18" i="3"/>
  <c r="D18" i="3"/>
  <c r="Q17" i="3"/>
  <c r="T17" i="3" s="1"/>
  <c r="P17" i="3"/>
  <c r="R17" i="3" s="1"/>
  <c r="O17" i="3"/>
  <c r="N17" i="3"/>
  <c r="M17" i="3"/>
  <c r="L17" i="3"/>
  <c r="I17" i="3"/>
  <c r="H17" i="3"/>
  <c r="J17" i="3" s="1"/>
  <c r="G17" i="3"/>
  <c r="F17" i="3"/>
  <c r="E17" i="3"/>
  <c r="D17" i="3"/>
  <c r="Q16" i="3"/>
  <c r="P16" i="3"/>
  <c r="R16" i="3" s="1"/>
  <c r="O16" i="3"/>
  <c r="N16" i="3"/>
  <c r="M16" i="3"/>
  <c r="L16" i="3"/>
  <c r="I16" i="3"/>
  <c r="H16" i="3"/>
  <c r="J16" i="3" s="1"/>
  <c r="G16" i="3"/>
  <c r="F16" i="3"/>
  <c r="E16" i="3"/>
  <c r="D16" i="3"/>
  <c r="Q15" i="3"/>
  <c r="P15" i="3"/>
  <c r="R15" i="3" s="1"/>
  <c r="O15" i="3"/>
  <c r="N15" i="3"/>
  <c r="M15" i="3"/>
  <c r="L15" i="3"/>
  <c r="I15" i="3"/>
  <c r="H15" i="3"/>
  <c r="G15" i="3"/>
  <c r="F15" i="3"/>
  <c r="E15" i="3"/>
  <c r="D15" i="3"/>
  <c r="Q14" i="3"/>
  <c r="P14" i="3"/>
  <c r="R14" i="3" s="1"/>
  <c r="O14" i="3"/>
  <c r="N14" i="3"/>
  <c r="M14" i="3"/>
  <c r="L14" i="3"/>
  <c r="I14" i="3"/>
  <c r="H14" i="3"/>
  <c r="G14" i="3"/>
  <c r="F14" i="3"/>
  <c r="E14" i="3"/>
  <c r="D14" i="3"/>
  <c r="Q13" i="3"/>
  <c r="P13" i="3"/>
  <c r="R13" i="3" s="1"/>
  <c r="O13" i="3"/>
  <c r="N13" i="3"/>
  <c r="M13" i="3"/>
  <c r="L13" i="3"/>
  <c r="I13" i="3"/>
  <c r="H13" i="3"/>
  <c r="G13" i="3"/>
  <c r="F13" i="3"/>
  <c r="E13" i="3"/>
  <c r="D13" i="3"/>
  <c r="Q12" i="3"/>
  <c r="P12" i="3"/>
  <c r="R12" i="3" s="1"/>
  <c r="O12" i="3"/>
  <c r="N12" i="3"/>
  <c r="M12" i="3"/>
  <c r="L12" i="3"/>
  <c r="I12" i="3"/>
  <c r="H12" i="3"/>
  <c r="G12" i="3"/>
  <c r="F12" i="3"/>
  <c r="E12" i="3"/>
  <c r="D12" i="3"/>
  <c r="Q11" i="3"/>
  <c r="P11" i="3"/>
  <c r="R11" i="3" s="1"/>
  <c r="O11" i="3"/>
  <c r="N11" i="3"/>
  <c r="M11" i="3"/>
  <c r="L11" i="3"/>
  <c r="I11" i="3"/>
  <c r="H11" i="3"/>
  <c r="J11" i="3" s="1"/>
  <c r="G11" i="3"/>
  <c r="F11" i="3"/>
  <c r="E11" i="3"/>
  <c r="D11" i="3"/>
  <c r="Q10" i="3"/>
  <c r="P10" i="3"/>
  <c r="R10" i="3" s="1"/>
  <c r="O10" i="3"/>
  <c r="N10" i="3"/>
  <c r="M10" i="3"/>
  <c r="L10" i="3"/>
  <c r="I10" i="3"/>
  <c r="H10" i="3"/>
  <c r="J10" i="3" s="1"/>
  <c r="G10" i="3"/>
  <c r="F10" i="3"/>
  <c r="E10" i="3"/>
  <c r="D10" i="3"/>
  <c r="Q9" i="3"/>
  <c r="P9" i="3"/>
  <c r="R9" i="3" s="1"/>
  <c r="O9" i="3"/>
  <c r="N9" i="3"/>
  <c r="M9" i="3"/>
  <c r="L9" i="3"/>
  <c r="I9" i="3"/>
  <c r="H9" i="3"/>
  <c r="J9" i="3" s="1"/>
  <c r="G9" i="3"/>
  <c r="F9" i="3"/>
  <c r="E9" i="3"/>
  <c r="D9" i="3"/>
  <c r="Q8" i="3"/>
  <c r="T8" i="3" s="1"/>
  <c r="P8" i="3"/>
  <c r="R8" i="3" s="1"/>
  <c r="O8" i="3"/>
  <c r="N8" i="3"/>
  <c r="M8" i="3"/>
  <c r="L8" i="3"/>
  <c r="I8" i="3"/>
  <c r="H8" i="3"/>
  <c r="J8" i="3" s="1"/>
  <c r="G8" i="3"/>
  <c r="F8" i="3"/>
  <c r="E8" i="3"/>
  <c r="D8" i="3"/>
  <c r="R7" i="3"/>
  <c r="Q7" i="3"/>
  <c r="P7" i="3"/>
  <c r="O7" i="3"/>
  <c r="N7" i="3"/>
  <c r="M7" i="3"/>
  <c r="L7" i="3"/>
  <c r="I7" i="3"/>
  <c r="H7" i="3"/>
  <c r="S7" i="3" s="1"/>
  <c r="G7" i="3"/>
  <c r="F7" i="3"/>
  <c r="E7" i="3"/>
  <c r="D7" i="3"/>
  <c r="Q6" i="3"/>
  <c r="P6" i="3"/>
  <c r="R6" i="3" s="1"/>
  <c r="O6" i="3"/>
  <c r="N6" i="3"/>
  <c r="M6" i="3"/>
  <c r="L6" i="3"/>
  <c r="I6" i="3"/>
  <c r="H6" i="3"/>
  <c r="S6" i="3" s="1"/>
  <c r="G6" i="3"/>
  <c r="F6" i="3"/>
  <c r="E6" i="3"/>
  <c r="D6" i="3"/>
  <c r="Q5" i="3"/>
  <c r="P5" i="3"/>
  <c r="R5" i="3" s="1"/>
  <c r="O5" i="3"/>
  <c r="N5" i="3"/>
  <c r="M5" i="3"/>
  <c r="L5" i="3"/>
  <c r="I5" i="3"/>
  <c r="H5" i="3"/>
  <c r="S5" i="3" s="1"/>
  <c r="G5" i="3"/>
  <c r="F5" i="3"/>
  <c r="E5" i="3"/>
  <c r="D5" i="3"/>
  <c r="Q4" i="3"/>
  <c r="P4" i="3"/>
  <c r="R4" i="3" s="1"/>
  <c r="O4" i="3"/>
  <c r="N4" i="3"/>
  <c r="M4" i="3"/>
  <c r="L4" i="3"/>
  <c r="I4" i="3"/>
  <c r="H4" i="3"/>
  <c r="S4" i="3" s="1"/>
  <c r="G4" i="3"/>
  <c r="F4" i="3"/>
  <c r="E4" i="3"/>
  <c r="D4" i="3"/>
  <c r="S3" i="3"/>
  <c r="Q3" i="3"/>
  <c r="P3" i="3"/>
  <c r="R3" i="3" s="1"/>
  <c r="O3" i="3"/>
  <c r="N3" i="3"/>
  <c r="M3" i="3"/>
  <c r="L3" i="3"/>
  <c r="J3" i="3"/>
  <c r="I3" i="3"/>
  <c r="H3" i="3"/>
  <c r="G3" i="3"/>
  <c r="F3" i="3"/>
  <c r="E3" i="3"/>
  <c r="D3" i="3"/>
  <c r="AD8" i="2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C3" i="2"/>
  <c r="B48" i="1"/>
  <c r="B47" i="1"/>
  <c r="B45" i="1"/>
  <c r="B44" i="1"/>
  <c r="B43" i="1"/>
  <c r="B42" i="1"/>
  <c r="B41" i="1"/>
  <c r="C39" i="1"/>
  <c r="B36" i="1"/>
  <c r="B35" i="1"/>
  <c r="B33" i="1"/>
  <c r="B32" i="1"/>
  <c r="B31" i="1"/>
  <c r="B30" i="1"/>
  <c r="B29" i="1"/>
  <c r="C27" i="1"/>
  <c r="B24" i="1"/>
  <c r="B23" i="1"/>
  <c r="B21" i="1"/>
  <c r="B20" i="1"/>
  <c r="B19" i="1"/>
  <c r="B18" i="1"/>
  <c r="B17" i="1"/>
  <c r="C15" i="1"/>
  <c r="C3" i="1"/>
  <c r="AA87" i="4"/>
  <c r="Y83" i="4"/>
  <c r="Z83" i="4"/>
  <c r="V79" i="4"/>
  <c r="AA83" i="4"/>
  <c r="Y87" i="4"/>
  <c r="X83" i="4"/>
  <c r="AA79" i="4"/>
  <c r="X87" i="4"/>
  <c r="W87" i="4"/>
  <c r="Z79" i="4"/>
  <c r="V87" i="4"/>
  <c r="W79" i="4"/>
  <c r="X79" i="4"/>
  <c r="V83" i="4"/>
  <c r="Z87" i="4"/>
  <c r="W83" i="4"/>
  <c r="Y79" i="4"/>
  <c r="Z95" i="6"/>
  <c r="W103" i="6"/>
  <c r="Z39" i="5"/>
  <c r="W23" i="3"/>
  <c r="AA99" i="5"/>
  <c r="W79" i="3"/>
  <c r="Y71" i="6"/>
  <c r="Z67" i="3"/>
  <c r="V43" i="3"/>
  <c r="X47" i="3"/>
  <c r="V15" i="3"/>
  <c r="Y35" i="5"/>
  <c r="X103" i="5"/>
  <c r="AA99" i="3"/>
  <c r="W35" i="3"/>
  <c r="X55" i="5"/>
  <c r="V71" i="3"/>
  <c r="AA103" i="3"/>
  <c r="Z99" i="5"/>
  <c r="Z27" i="6"/>
  <c r="Z47" i="3"/>
  <c r="AA83" i="3"/>
  <c r="Y95" i="6"/>
  <c r="AA91" i="6"/>
  <c r="W55" i="6"/>
  <c r="V71" i="6"/>
  <c r="AA71" i="3"/>
  <c r="Z51" i="6"/>
  <c r="Z83" i="6"/>
  <c r="Y99" i="3"/>
  <c r="Y55" i="5"/>
  <c r="W87" i="3"/>
  <c r="AA27" i="5"/>
  <c r="W63" i="6"/>
  <c r="V43" i="6"/>
  <c r="W71" i="3"/>
  <c r="X11" i="3"/>
  <c r="AA43" i="5"/>
  <c r="W35" i="5"/>
  <c r="W83" i="3"/>
  <c r="AA31" i="6"/>
  <c r="Z83" i="3"/>
  <c r="X71" i="6"/>
  <c r="W95" i="6"/>
  <c r="Y75" i="6"/>
  <c r="Z35" i="6"/>
  <c r="AA43" i="3"/>
  <c r="V35" i="5"/>
  <c r="W55" i="5"/>
  <c r="W79" i="6"/>
  <c r="Y79" i="6"/>
  <c r="V103" i="6"/>
  <c r="V87" i="6"/>
  <c r="Y43" i="6"/>
  <c r="W15" i="3"/>
  <c r="Y87" i="3"/>
  <c r="AA31" i="3"/>
  <c r="Z23" i="3"/>
  <c r="Y67" i="6"/>
  <c r="AA95" i="5"/>
  <c r="AA95" i="6"/>
  <c r="V51" i="5"/>
  <c r="X83" i="3"/>
  <c r="X23" i="3"/>
  <c r="AA39" i="6"/>
  <c r="AA67" i="6"/>
  <c r="W39" i="5"/>
  <c r="X95" i="3"/>
  <c r="Z7" i="3"/>
  <c r="AA87" i="6"/>
  <c r="V103" i="3"/>
  <c r="AA103" i="5"/>
  <c r="Z19" i="3"/>
  <c r="W43" i="3"/>
  <c r="Z75" i="6"/>
  <c r="AA3" i="3"/>
  <c r="Y51" i="3"/>
  <c r="V55" i="3"/>
  <c r="W39" i="6"/>
  <c r="Y99" i="6"/>
  <c r="X87" i="3"/>
  <c r="W99" i="5"/>
  <c r="AA39" i="3"/>
  <c r="X103" i="6"/>
  <c r="AA67" i="3"/>
  <c r="Y39" i="5"/>
  <c r="Z47" i="5"/>
  <c r="AA35" i="4"/>
  <c r="AA7" i="4"/>
  <c r="Y35" i="4"/>
  <c r="AA11" i="4"/>
  <c r="X35" i="4"/>
  <c r="V95" i="4"/>
  <c r="AA23" i="4"/>
  <c r="AA43" i="4"/>
  <c r="Z15" i="4"/>
  <c r="W47" i="4"/>
  <c r="Z51" i="4"/>
  <c r="W31" i="4"/>
  <c r="V19" i="4"/>
  <c r="W95" i="4"/>
  <c r="Z43" i="4"/>
  <c r="X27" i="4"/>
  <c r="AA47" i="4"/>
  <c r="X47" i="4"/>
  <c r="X39" i="4"/>
  <c r="AA27" i="4"/>
  <c r="Z3" i="4"/>
  <c r="W27" i="4"/>
  <c r="Y59" i="4"/>
  <c r="Y43" i="4"/>
  <c r="X31" i="4"/>
  <c r="V27" i="4"/>
  <c r="Y95" i="4"/>
  <c r="Z31" i="4"/>
  <c r="Z23" i="4"/>
  <c r="W75" i="4"/>
  <c r="Z71" i="4"/>
  <c r="Y71" i="4"/>
  <c r="X67" i="4"/>
  <c r="W63" i="4"/>
  <c r="V63" i="4"/>
  <c r="Y91" i="5"/>
  <c r="AA87" i="5"/>
  <c r="Z87" i="5"/>
  <c r="V83" i="5"/>
  <c r="V79" i="5"/>
  <c r="AA51" i="3"/>
  <c r="Y27" i="6"/>
  <c r="Z87" i="3"/>
  <c r="W11" i="3"/>
  <c r="AA31" i="5"/>
  <c r="W91" i="6"/>
  <c r="V63" i="6"/>
  <c r="AA43" i="6"/>
  <c r="AA47" i="6"/>
  <c r="V103" i="5"/>
  <c r="V31" i="5"/>
  <c r="W39" i="3"/>
  <c r="Y23" i="3"/>
  <c r="X35" i="6"/>
  <c r="Z103" i="5"/>
  <c r="AA47" i="5"/>
  <c r="AA63" i="3"/>
  <c r="Z55" i="3"/>
  <c r="AA59" i="6"/>
  <c r="Z31" i="3"/>
  <c r="V95" i="6"/>
  <c r="X19" i="3"/>
  <c r="Z103" i="3"/>
  <c r="W59" i="3"/>
  <c r="X15" i="3"/>
  <c r="X63" i="6"/>
  <c r="Z35" i="5"/>
  <c r="V75" i="3"/>
  <c r="X55" i="3"/>
  <c r="W51" i="6"/>
  <c r="AA55" i="6"/>
  <c r="Z39" i="6"/>
  <c r="Z51" i="5"/>
  <c r="W63" i="3"/>
  <c r="Z91" i="6"/>
  <c r="Y79" i="3"/>
  <c r="X59" i="5"/>
  <c r="Z43" i="5"/>
  <c r="V87" i="3"/>
  <c r="V83" i="6"/>
  <c r="X27" i="5"/>
  <c r="W95" i="5"/>
  <c r="AA63" i="6"/>
  <c r="X31" i="3"/>
  <c r="W7" i="3"/>
  <c r="W47" i="5"/>
  <c r="Z43" i="3"/>
  <c r="Z87" i="6"/>
  <c r="X79" i="6"/>
  <c r="X99" i="5"/>
  <c r="X43" i="5"/>
  <c r="X35" i="5"/>
  <c r="Z39" i="3"/>
  <c r="X31" i="6"/>
  <c r="X35" i="3"/>
  <c r="Y95" i="3"/>
  <c r="V79" i="3"/>
  <c r="AA35" i="5"/>
  <c r="AA75" i="3"/>
  <c r="AA59" i="5"/>
  <c r="W3" i="3"/>
  <c r="V99" i="5"/>
  <c r="V95" i="5"/>
  <c r="AA79" i="6"/>
  <c r="Z35" i="3"/>
  <c r="X75" i="3"/>
  <c r="Z27" i="3"/>
  <c r="Y35" i="3"/>
  <c r="W27" i="6"/>
  <c r="X91" i="3"/>
  <c r="X47" i="5"/>
  <c r="Y15" i="3"/>
  <c r="AA55" i="5"/>
  <c r="Z47" i="6"/>
  <c r="Z67" i="6"/>
  <c r="V31" i="6"/>
  <c r="V39" i="5"/>
  <c r="Z3" i="3"/>
  <c r="AA51" i="5"/>
  <c r="Y51" i="5"/>
  <c r="AA23" i="3"/>
  <c r="V3" i="3"/>
  <c r="V59" i="3"/>
  <c r="AA51" i="6"/>
  <c r="Z95" i="3"/>
  <c r="Y91" i="3"/>
  <c r="Z63" i="6"/>
  <c r="Z47" i="4"/>
  <c r="Y7" i="4"/>
  <c r="X55" i="4"/>
  <c r="AA103" i="4"/>
  <c r="W55" i="4"/>
  <c r="W23" i="4"/>
  <c r="AA55" i="4"/>
  <c r="Y11" i="4"/>
  <c r="X95" i="4"/>
  <c r="X99" i="4"/>
  <c r="X15" i="4"/>
  <c r="X91" i="4"/>
  <c r="Y55" i="4"/>
  <c r="Z55" i="4"/>
  <c r="AA99" i="4"/>
  <c r="V55" i="4"/>
  <c r="W51" i="4"/>
  <c r="X99" i="3"/>
  <c r="Z79" i="3"/>
  <c r="AA27" i="3"/>
  <c r="X87" i="6"/>
  <c r="W31" i="5"/>
  <c r="V55" i="6"/>
  <c r="Z71" i="3"/>
  <c r="Y103" i="5"/>
  <c r="Y27" i="3"/>
  <c r="Z27" i="5"/>
  <c r="V43" i="5"/>
  <c r="W51" i="5"/>
  <c r="X51" i="3"/>
  <c r="W59" i="6"/>
  <c r="Y31" i="6"/>
  <c r="AA71" i="6"/>
  <c r="X63" i="3"/>
  <c r="X67" i="6"/>
  <c r="V55" i="5"/>
  <c r="X51" i="6"/>
  <c r="Y47" i="6"/>
  <c r="X27" i="6"/>
  <c r="V27" i="6"/>
  <c r="W43" i="5"/>
  <c r="Y43" i="3"/>
  <c r="X71" i="3"/>
  <c r="W47" i="3"/>
  <c r="V35" i="3"/>
  <c r="Z11" i="3"/>
  <c r="W47" i="6"/>
  <c r="Z51" i="3"/>
  <c r="V39" i="3"/>
  <c r="W95" i="3"/>
  <c r="Y55" i="6"/>
  <c r="Y3" i="3"/>
  <c r="Y39" i="3"/>
  <c r="W51" i="3"/>
  <c r="AA95" i="3"/>
  <c r="AA59" i="3"/>
  <c r="AA35" i="6"/>
  <c r="X7" i="3"/>
  <c r="V39" i="6"/>
  <c r="Y71" i="3"/>
  <c r="V95" i="3"/>
  <c r="Y35" i="6"/>
  <c r="Y103" i="6"/>
  <c r="Y99" i="5"/>
  <c r="W59" i="5"/>
  <c r="X95" i="5"/>
  <c r="Y59" i="6"/>
  <c r="X75" i="6"/>
  <c r="W27" i="5"/>
  <c r="Z55" i="5"/>
  <c r="V91" i="6"/>
  <c r="X95" i="6"/>
  <c r="Y11" i="3"/>
  <c r="AA103" i="6"/>
  <c r="V47" i="5"/>
  <c r="W67" i="3"/>
  <c r="X39" i="5"/>
  <c r="Z31" i="5"/>
  <c r="V79" i="6"/>
  <c r="V7" i="3"/>
  <c r="Z55" i="6"/>
  <c r="Z103" i="6"/>
  <c r="V67" i="3"/>
  <c r="V59" i="5"/>
  <c r="Y55" i="3"/>
  <c r="W31" i="6"/>
  <c r="V27" i="5"/>
  <c r="X39" i="3"/>
  <c r="Z59" i="6"/>
  <c r="X99" i="6"/>
  <c r="W87" i="6"/>
  <c r="W75" i="3"/>
  <c r="W55" i="3"/>
  <c r="X55" i="6"/>
  <c r="W91" i="3"/>
  <c r="W99" i="6"/>
  <c r="Z99" i="3"/>
  <c r="Y7" i="3"/>
  <c r="Y83" i="6"/>
  <c r="X39" i="6"/>
  <c r="AA75" i="6"/>
  <c r="X103" i="3"/>
  <c r="Y47" i="5"/>
  <c r="Y63" i="3"/>
  <c r="X103" i="4"/>
  <c r="W19" i="4"/>
  <c r="AA19" i="4"/>
  <c r="V3" i="4"/>
  <c r="V15" i="4"/>
  <c r="X19" i="4"/>
  <c r="V11" i="4"/>
  <c r="V91" i="4"/>
  <c r="V31" i="4"/>
  <c r="Y47" i="4"/>
  <c r="X59" i="4"/>
  <c r="W99" i="4"/>
  <c r="Z27" i="4"/>
  <c r="Z35" i="4"/>
  <c r="Z19" i="4"/>
  <c r="AA95" i="4"/>
  <c r="Y23" i="4"/>
  <c r="X59" i="6"/>
  <c r="W103" i="3"/>
  <c r="AA91" i="3"/>
  <c r="X31" i="5"/>
  <c r="V47" i="3"/>
  <c r="V11" i="3"/>
  <c r="Y103" i="3"/>
  <c r="Z63" i="3"/>
  <c r="X51" i="5"/>
  <c r="Y31" i="3"/>
  <c r="V19" i="3"/>
  <c r="AA7" i="3"/>
  <c r="Z59" i="5"/>
  <c r="Z43" i="6"/>
  <c r="V23" i="3"/>
  <c r="Y83" i="3"/>
  <c r="Y63" i="6"/>
  <c r="Z79" i="6"/>
  <c r="X67" i="3"/>
  <c r="Z91" i="3"/>
  <c r="AA47" i="3"/>
  <c r="V99" i="3"/>
  <c r="W43" i="6"/>
  <c r="W35" i="6"/>
  <c r="X79" i="3"/>
  <c r="X43" i="6"/>
  <c r="X27" i="3"/>
  <c r="Y39" i="6"/>
  <c r="Y59" i="3"/>
  <c r="AA15" i="3"/>
  <c r="V99" i="6"/>
  <c r="AA83" i="6"/>
  <c r="Z71" i="6"/>
  <c r="AA87" i="3"/>
  <c r="X91" i="6"/>
  <c r="Y59" i="5"/>
  <c r="V51" i="3"/>
  <c r="W99" i="3"/>
  <c r="V35" i="6"/>
  <c r="Y87" i="6"/>
  <c r="Y19" i="3"/>
  <c r="V51" i="6"/>
  <c r="Z75" i="3"/>
  <c r="Y91" i="6"/>
  <c r="Y95" i="5"/>
  <c r="Y27" i="5"/>
  <c r="Y43" i="5"/>
  <c r="W19" i="3"/>
  <c r="X59" i="3"/>
  <c r="Y51" i="6"/>
  <c r="V67" i="6"/>
  <c r="Y31" i="5"/>
  <c r="AA19" i="3"/>
  <c r="V83" i="3"/>
  <c r="W103" i="5"/>
  <c r="X47" i="6"/>
  <c r="Z15" i="3"/>
  <c r="V75" i="6"/>
  <c r="W27" i="3"/>
  <c r="Z99" i="6"/>
  <c r="AA35" i="3"/>
  <c r="V27" i="3"/>
  <c r="V31" i="3"/>
  <c r="Y47" i="3"/>
  <c r="W75" i="6"/>
  <c r="Y67" i="3"/>
  <c r="V91" i="3"/>
  <c r="AA79" i="3"/>
  <c r="AA27" i="6"/>
  <c r="X43" i="3"/>
  <c r="W31" i="3"/>
  <c r="Z59" i="3"/>
  <c r="Z95" i="5"/>
  <c r="Z31" i="6"/>
  <c r="Y75" i="3"/>
  <c r="V59" i="6"/>
  <c r="AA55" i="3"/>
  <c r="W71" i="6"/>
  <c r="AA11" i="3"/>
  <c r="AA39" i="5"/>
  <c r="AA99" i="6"/>
  <c r="X3" i="3"/>
  <c r="X83" i="6"/>
  <c r="W67" i="6"/>
  <c r="W83" i="6"/>
  <c r="V47" i="6"/>
  <c r="AA3" i="4"/>
  <c r="Z103" i="4"/>
  <c r="W7" i="4"/>
  <c r="V39" i="4"/>
  <c r="W3" i="4"/>
  <c r="AA15" i="4"/>
  <c r="Y91" i="4"/>
  <c r="Z91" i="4"/>
  <c r="W11" i="4"/>
  <c r="Y19" i="4"/>
  <c r="V51" i="4"/>
  <c r="Y51" i="4"/>
  <c r="Y103" i="4"/>
  <c r="X43" i="4"/>
  <c r="Z59" i="4"/>
  <c r="Y39" i="4"/>
  <c r="V23" i="4"/>
  <c r="V99" i="4"/>
  <c r="Z39" i="4"/>
  <c r="X23" i="4"/>
  <c r="V59" i="4"/>
  <c r="Z7" i="4"/>
  <c r="V35" i="4"/>
  <c r="Y99" i="4"/>
  <c r="Z99" i="4"/>
  <c r="Y27" i="4"/>
  <c r="X51" i="4"/>
  <c r="Z95" i="4"/>
  <c r="Y3" i="4"/>
  <c r="AA75" i="4"/>
  <c r="W71" i="4"/>
  <c r="AA71" i="4"/>
  <c r="AA67" i="4"/>
  <c r="X63" i="4"/>
  <c r="AA63" i="4"/>
  <c r="Z91" i="5"/>
  <c r="Y87" i="5"/>
  <c r="W87" i="5"/>
  <c r="W83" i="5"/>
  <c r="X79" i="5"/>
  <c r="W35" i="4"/>
  <c r="W43" i="4"/>
  <c r="V43" i="4"/>
  <c r="AA59" i="4"/>
  <c r="W39" i="4"/>
  <c r="AA31" i="4"/>
  <c r="Z75" i="4"/>
  <c r="V67" i="4"/>
  <c r="Y63" i="4"/>
  <c r="AA91" i="5"/>
  <c r="AA83" i="5"/>
  <c r="Z79" i="5"/>
  <c r="Z75" i="5"/>
  <c r="Y75" i="5"/>
  <c r="AA71" i="5"/>
  <c r="X67" i="5"/>
  <c r="Y67" i="5"/>
  <c r="Y63" i="5"/>
  <c r="Y83" i="5"/>
  <c r="W79" i="5"/>
  <c r="X75" i="5"/>
  <c r="X71" i="5"/>
  <c r="W67" i="5"/>
  <c r="Z63" i="5"/>
  <c r="AA39" i="4"/>
  <c r="Y15" i="4"/>
  <c r="AA91" i="4"/>
  <c r="X7" i="4"/>
  <c r="X11" i="4"/>
  <c r="V47" i="4"/>
  <c r="X75" i="4"/>
  <c r="W67" i="4"/>
  <c r="Z63" i="4"/>
  <c r="W91" i="5"/>
  <c r="AA75" i="5"/>
  <c r="V67" i="5"/>
  <c r="W63" i="5"/>
  <c r="W15" i="4"/>
  <c r="W59" i="4"/>
  <c r="X3" i="4"/>
  <c r="Z11" i="4"/>
  <c r="W103" i="4"/>
  <c r="V75" i="4"/>
  <c r="X71" i="4"/>
  <c r="Z67" i="4"/>
  <c r="X91" i="5"/>
  <c r="V87" i="5"/>
  <c r="Z83" i="5"/>
  <c r="AA79" i="5"/>
  <c r="W75" i="5"/>
  <c r="W71" i="5"/>
  <c r="Z71" i="5"/>
  <c r="Z67" i="5"/>
  <c r="AA63" i="5"/>
  <c r="Y31" i="4"/>
  <c r="V103" i="4"/>
  <c r="AA51" i="4"/>
  <c r="V7" i="4"/>
  <c r="W91" i="4"/>
  <c r="Y75" i="4"/>
  <c r="V71" i="4"/>
  <c r="Y67" i="4"/>
  <c r="V91" i="5"/>
  <c r="X87" i="5"/>
  <c r="X83" i="5"/>
  <c r="Y79" i="5"/>
  <c r="V75" i="5"/>
  <c r="V71" i="5"/>
  <c r="Y71" i="5"/>
  <c r="AA67" i="5"/>
  <c r="V63" i="5"/>
  <c r="X63" i="5"/>
  <c r="AN3" i="2"/>
  <c r="R27" i="3" l="1"/>
  <c r="S27" i="3"/>
  <c r="S42" i="5"/>
  <c r="R42" i="5"/>
  <c r="S101" i="6"/>
  <c r="J101" i="6"/>
  <c r="S24" i="3"/>
  <c r="S32" i="6"/>
  <c r="R32" i="6"/>
  <c r="S8" i="3"/>
  <c r="T9" i="3"/>
  <c r="T10" i="3"/>
  <c r="T11" i="3"/>
  <c r="S32" i="3"/>
  <c r="S100" i="3"/>
  <c r="R100" i="3"/>
  <c r="S85" i="6"/>
  <c r="J85" i="6"/>
  <c r="I113" i="6"/>
  <c r="S16" i="3"/>
  <c r="S92" i="3"/>
  <c r="R92" i="3"/>
  <c r="S11" i="3"/>
  <c r="R19" i="3"/>
  <c r="R108" i="3" s="1"/>
  <c r="S19" i="3"/>
  <c r="S49" i="3"/>
  <c r="J49" i="3"/>
  <c r="J8" i="4"/>
  <c r="S8" i="4"/>
  <c r="S94" i="6"/>
  <c r="J94" i="6"/>
  <c r="S12" i="3"/>
  <c r="S13" i="3"/>
  <c r="S14" i="3"/>
  <c r="T39" i="3"/>
  <c r="S40" i="3"/>
  <c r="S42" i="3"/>
  <c r="T81" i="3"/>
  <c r="T82" i="3"/>
  <c r="T94" i="3"/>
  <c r="T113" i="3" s="1"/>
  <c r="G12" i="1" s="1"/>
  <c r="T95" i="3"/>
  <c r="T97" i="3"/>
  <c r="S101" i="3"/>
  <c r="S102" i="3"/>
  <c r="S103" i="3"/>
  <c r="T106" i="3"/>
  <c r="J10" i="4"/>
  <c r="T96" i="4"/>
  <c r="T97" i="4"/>
  <c r="T98" i="4"/>
  <c r="T99" i="4"/>
  <c r="T100" i="4"/>
  <c r="T101" i="4"/>
  <c r="T102" i="4"/>
  <c r="T103" i="4"/>
  <c r="S29" i="5"/>
  <c r="R41" i="5"/>
  <c r="S43" i="5"/>
  <c r="T45" i="5"/>
  <c r="S51" i="5"/>
  <c r="S57" i="5"/>
  <c r="T62" i="5"/>
  <c r="T79" i="5"/>
  <c r="S83" i="5"/>
  <c r="S85" i="5"/>
  <c r="T87" i="5"/>
  <c r="S94" i="5"/>
  <c r="T103" i="5"/>
  <c r="T105" i="5"/>
  <c r="T29" i="6"/>
  <c r="S35" i="6"/>
  <c r="S44" i="6"/>
  <c r="S45" i="6"/>
  <c r="S46" i="6"/>
  <c r="S47" i="6"/>
  <c r="J48" i="6"/>
  <c r="J114" i="6" s="1"/>
  <c r="T52" i="6"/>
  <c r="T53" i="6"/>
  <c r="T54" i="6"/>
  <c r="T55" i="6"/>
  <c r="T79" i="6"/>
  <c r="S84" i="6"/>
  <c r="R92" i="6"/>
  <c r="T95" i="6"/>
  <c r="S100" i="6"/>
  <c r="S15" i="3"/>
  <c r="T16" i="3"/>
  <c r="S20" i="3"/>
  <c r="S21" i="3"/>
  <c r="S22" i="3"/>
  <c r="S23" i="3"/>
  <c r="T24" i="3"/>
  <c r="S28" i="3"/>
  <c r="S29" i="3"/>
  <c r="S30" i="3"/>
  <c r="S31" i="3"/>
  <c r="T32" i="3"/>
  <c r="T35" i="3"/>
  <c r="T42" i="3"/>
  <c r="T43" i="3"/>
  <c r="T48" i="3"/>
  <c r="S87" i="3"/>
  <c r="S39" i="5"/>
  <c r="S48" i="5"/>
  <c r="T49" i="5"/>
  <c r="T53" i="5"/>
  <c r="T54" i="5"/>
  <c r="S58" i="5"/>
  <c r="T59" i="5"/>
  <c r="S80" i="5"/>
  <c r="T81" i="5"/>
  <c r="T85" i="5"/>
  <c r="S86" i="5"/>
  <c r="S99" i="5"/>
  <c r="S102" i="5"/>
  <c r="S33" i="6"/>
  <c r="S43" i="6"/>
  <c r="T51" i="6"/>
  <c r="S62" i="6"/>
  <c r="T80" i="6"/>
  <c r="T81" i="6"/>
  <c r="T82" i="6"/>
  <c r="T83" i="6"/>
  <c r="T84" i="6"/>
  <c r="T86" i="6"/>
  <c r="T93" i="6"/>
  <c r="T96" i="6"/>
  <c r="T97" i="6"/>
  <c r="T98" i="6"/>
  <c r="T99" i="6"/>
  <c r="T100" i="6"/>
  <c r="T102" i="6"/>
  <c r="T44" i="5"/>
  <c r="S45" i="5"/>
  <c r="I112" i="5"/>
  <c r="S95" i="5"/>
  <c r="S34" i="6"/>
  <c r="T103" i="6"/>
  <c r="S35" i="4"/>
  <c r="S48" i="4"/>
  <c r="S19" i="4"/>
  <c r="S32" i="4"/>
  <c r="S101" i="4"/>
  <c r="S95" i="4"/>
  <c r="S103" i="4"/>
  <c r="S96" i="4"/>
  <c r="S97" i="4"/>
  <c r="S98" i="4"/>
  <c r="S99" i="4"/>
  <c r="J95" i="4"/>
  <c r="J3" i="4"/>
  <c r="S41" i="4"/>
  <c r="J61" i="4"/>
  <c r="T92" i="4"/>
  <c r="T93" i="4"/>
  <c r="S62" i="4"/>
  <c r="S93" i="4"/>
  <c r="S16" i="4"/>
  <c r="T5" i="3"/>
  <c r="T13" i="3"/>
  <c r="T21" i="3"/>
  <c r="T29" i="3"/>
  <c r="S43" i="3"/>
  <c r="S84" i="3"/>
  <c r="T101" i="3"/>
  <c r="J11" i="4"/>
  <c r="T95" i="4"/>
  <c r="S37" i="5"/>
  <c r="T43" i="5"/>
  <c r="Q110" i="5"/>
  <c r="T80" i="5"/>
  <c r="T90" i="5"/>
  <c r="S27" i="6"/>
  <c r="T28" i="6"/>
  <c r="S61" i="6"/>
  <c r="T62" i="6"/>
  <c r="T62" i="3"/>
  <c r="T60" i="3"/>
  <c r="T50" i="3"/>
  <c r="T6" i="3"/>
  <c r="T14" i="3"/>
  <c r="T22" i="3"/>
  <c r="T30" i="3"/>
  <c r="S35" i="3"/>
  <c r="J50" i="3"/>
  <c r="S53" i="3"/>
  <c r="S85" i="3"/>
  <c r="T102" i="3"/>
  <c r="S106" i="4"/>
  <c r="T30" i="5"/>
  <c r="S38" i="5"/>
  <c r="S56" i="5"/>
  <c r="Q113" i="5"/>
  <c r="S101" i="5"/>
  <c r="R51" i="6"/>
  <c r="T7" i="3"/>
  <c r="Q108" i="3"/>
  <c r="T23" i="3"/>
  <c r="T31" i="3"/>
  <c r="T36" i="3"/>
  <c r="T44" i="3"/>
  <c r="S58" i="3"/>
  <c r="R84" i="3"/>
  <c r="S86" i="3"/>
  <c r="I113" i="3"/>
  <c r="T103" i="3"/>
  <c r="S17" i="4"/>
  <c r="S26" i="4"/>
  <c r="S27" i="5"/>
  <c r="S40" i="5"/>
  <c r="T50" i="5"/>
  <c r="T82" i="5"/>
  <c r="S93" i="5"/>
  <c r="S98" i="5"/>
  <c r="T106" i="5"/>
  <c r="T31" i="6"/>
  <c r="T34" i="6"/>
  <c r="T36" i="6"/>
  <c r="T37" i="6"/>
  <c r="T38" i="6"/>
  <c r="T39" i="6"/>
  <c r="T42" i="6"/>
  <c r="T44" i="6"/>
  <c r="T45" i="6"/>
  <c r="T46" i="6"/>
  <c r="Q110" i="6"/>
  <c r="T50" i="6"/>
  <c r="T79" i="3"/>
  <c r="S100" i="4"/>
  <c r="S28" i="5"/>
  <c r="R112" i="6"/>
  <c r="R113" i="6"/>
  <c r="J112" i="3"/>
  <c r="S79" i="6"/>
  <c r="S87" i="6"/>
  <c r="S95" i="6"/>
  <c r="S103" i="6"/>
  <c r="Q110" i="3"/>
  <c r="S9" i="3"/>
  <c r="S17" i="3"/>
  <c r="S25" i="3"/>
  <c r="S33" i="3"/>
  <c r="J48" i="3"/>
  <c r="R101" i="3"/>
  <c r="S9" i="4"/>
  <c r="S34" i="4"/>
  <c r="S40" i="4"/>
  <c r="J43" i="4"/>
  <c r="J109" i="4" s="1"/>
  <c r="S50" i="4"/>
  <c r="S92" i="4"/>
  <c r="S102" i="4"/>
  <c r="T106" i="4"/>
  <c r="R29" i="5"/>
  <c r="S30" i="5"/>
  <c r="T38" i="5"/>
  <c r="R43" i="5"/>
  <c r="S44" i="5"/>
  <c r="S50" i="5"/>
  <c r="S82" i="5"/>
  <c r="I113" i="5"/>
  <c r="T96" i="5"/>
  <c r="S97" i="5"/>
  <c r="S105" i="5"/>
  <c r="R33" i="6"/>
  <c r="R41" i="6"/>
  <c r="R49" i="6"/>
  <c r="I108" i="3"/>
  <c r="S54" i="3"/>
  <c r="Q113" i="3"/>
  <c r="R102" i="3"/>
  <c r="J59" i="5"/>
  <c r="R96" i="5"/>
  <c r="T32" i="6"/>
  <c r="T40" i="6"/>
  <c r="I110" i="6"/>
  <c r="T48" i="6"/>
  <c r="T56" i="6"/>
  <c r="R60" i="6"/>
  <c r="S10" i="3"/>
  <c r="S18" i="3"/>
  <c r="S26" i="3"/>
  <c r="S38" i="3"/>
  <c r="S46" i="3"/>
  <c r="T86" i="3"/>
  <c r="T91" i="3"/>
  <c r="S93" i="3"/>
  <c r="R103" i="3"/>
  <c r="I109" i="4"/>
  <c r="T28" i="5"/>
  <c r="T40" i="5"/>
  <c r="S88" i="5"/>
  <c r="T98" i="5"/>
  <c r="J113" i="6"/>
  <c r="S34" i="3"/>
  <c r="S39" i="3"/>
  <c r="S56" i="3"/>
  <c r="S59" i="3"/>
  <c r="Q112" i="3"/>
  <c r="T87" i="3"/>
  <c r="S94" i="3"/>
  <c r="S18" i="4"/>
  <c r="S24" i="4"/>
  <c r="S27" i="4"/>
  <c r="S49" i="4"/>
  <c r="T94" i="4"/>
  <c r="S32" i="5"/>
  <c r="S33" i="5"/>
  <c r="S34" i="5"/>
  <c r="S35" i="5"/>
  <c r="T41" i="5"/>
  <c r="S79" i="5"/>
  <c r="T88" i="5"/>
  <c r="S89" i="5"/>
  <c r="T99" i="5"/>
  <c r="R34" i="6"/>
  <c r="R42" i="6"/>
  <c r="T61" i="6"/>
  <c r="T4" i="3"/>
  <c r="T12" i="3"/>
  <c r="T20" i="3"/>
  <c r="T28" i="3"/>
  <c r="I110" i="3"/>
  <c r="S95" i="3"/>
  <c r="T100" i="3"/>
  <c r="S33" i="4"/>
  <c r="S42" i="4"/>
  <c r="I113" i="4"/>
  <c r="S94" i="4"/>
  <c r="R104" i="4"/>
  <c r="R113" i="4" s="1"/>
  <c r="S105" i="4"/>
  <c r="T29" i="5"/>
  <c r="R31" i="5"/>
  <c r="S36" i="5"/>
  <c r="T42" i="5"/>
  <c r="Q112" i="5"/>
  <c r="R88" i="5"/>
  <c r="T89" i="5"/>
  <c r="S100" i="5"/>
  <c r="T33" i="6"/>
  <c r="T41" i="6"/>
  <c r="T49" i="6"/>
  <c r="S59" i="6"/>
  <c r="R111" i="6"/>
  <c r="T52" i="3"/>
  <c r="T56" i="3"/>
  <c r="T58" i="3"/>
  <c r="T66" i="3"/>
  <c r="T72" i="3"/>
  <c r="T74" i="3"/>
  <c r="Q111" i="3"/>
  <c r="T54" i="3"/>
  <c r="V114" i="3"/>
  <c r="C10" i="1" s="1"/>
  <c r="V107" i="3"/>
  <c r="C5" i="1" s="1"/>
  <c r="Z114" i="3"/>
  <c r="Z107" i="3"/>
  <c r="X108" i="3"/>
  <c r="E6" i="1" s="1"/>
  <c r="V109" i="3"/>
  <c r="C7" i="1" s="1"/>
  <c r="Z109" i="3"/>
  <c r="X110" i="3"/>
  <c r="E8" i="1" s="1"/>
  <c r="X111" i="3"/>
  <c r="E11" i="1" s="1"/>
  <c r="W114" i="3"/>
  <c r="D10" i="1" s="1"/>
  <c r="W107" i="3"/>
  <c r="D5" i="1" s="1"/>
  <c r="AA114" i="3"/>
  <c r="AA107" i="3"/>
  <c r="Y108" i="3"/>
  <c r="W109" i="3"/>
  <c r="D7" i="1" s="1"/>
  <c r="AA109" i="3"/>
  <c r="Y110" i="3"/>
  <c r="X114" i="3"/>
  <c r="E10" i="1" s="1"/>
  <c r="X107" i="3"/>
  <c r="E5" i="1" s="1"/>
  <c r="V108" i="3"/>
  <c r="C6" i="1" s="1"/>
  <c r="Z108" i="3"/>
  <c r="X109" i="3"/>
  <c r="E7" i="1" s="1"/>
  <c r="V110" i="3"/>
  <c r="C8" i="1" s="1"/>
  <c r="Z110" i="3"/>
  <c r="Y114" i="3"/>
  <c r="Y107" i="3"/>
  <c r="W108" i="3"/>
  <c r="D6" i="1" s="1"/>
  <c r="AA108" i="3"/>
  <c r="Y109" i="3"/>
  <c r="W110" i="3"/>
  <c r="D8" i="1" s="1"/>
  <c r="AA110" i="3"/>
  <c r="Y111" i="3"/>
  <c r="V112" i="3"/>
  <c r="C9" i="1" s="1"/>
  <c r="Z112" i="3"/>
  <c r="X113" i="3"/>
  <c r="E12" i="1" s="1"/>
  <c r="V114" i="4"/>
  <c r="C22" i="1" s="1"/>
  <c r="V107" i="4"/>
  <c r="C17" i="1" s="1"/>
  <c r="Z114" i="4"/>
  <c r="Z107" i="4"/>
  <c r="X108" i="4"/>
  <c r="E18" i="1" s="1"/>
  <c r="V109" i="4"/>
  <c r="C19" i="1" s="1"/>
  <c r="Z109" i="4"/>
  <c r="X110" i="4"/>
  <c r="E20" i="1" s="1"/>
  <c r="V113" i="4"/>
  <c r="C24" i="1" s="1"/>
  <c r="V111" i="3"/>
  <c r="C11" i="1" s="1"/>
  <c r="Z111" i="3"/>
  <c r="W112" i="3"/>
  <c r="D9" i="1" s="1"/>
  <c r="AA112" i="3"/>
  <c r="Y113" i="3"/>
  <c r="W114" i="4"/>
  <c r="D22" i="1" s="1"/>
  <c r="W107" i="4"/>
  <c r="D17" i="1" s="1"/>
  <c r="AA114" i="4"/>
  <c r="AA107" i="4"/>
  <c r="Y108" i="4"/>
  <c r="W109" i="4"/>
  <c r="D19" i="1" s="1"/>
  <c r="AA109" i="4"/>
  <c r="Y110" i="4"/>
  <c r="W111" i="4"/>
  <c r="D23" i="1" s="1"/>
  <c r="W111" i="3"/>
  <c r="D11" i="1" s="1"/>
  <c r="AA111" i="3"/>
  <c r="X112" i="3"/>
  <c r="E9" i="1" s="1"/>
  <c r="V113" i="3"/>
  <c r="C12" i="1" s="1"/>
  <c r="Z113" i="3"/>
  <c r="X114" i="4"/>
  <c r="E22" i="1" s="1"/>
  <c r="X107" i="4"/>
  <c r="E17" i="1" s="1"/>
  <c r="V108" i="4"/>
  <c r="C18" i="1" s="1"/>
  <c r="Z108" i="4"/>
  <c r="X109" i="4"/>
  <c r="E19" i="1" s="1"/>
  <c r="V110" i="4"/>
  <c r="C20" i="1" s="1"/>
  <c r="Z110" i="4"/>
  <c r="Y111" i="4"/>
  <c r="Y112" i="3"/>
  <c r="W113" i="3"/>
  <c r="D12" i="1" s="1"/>
  <c r="AA113" i="3"/>
  <c r="Y114" i="4"/>
  <c r="Y107" i="4"/>
  <c r="W108" i="4"/>
  <c r="D18" i="1" s="1"/>
  <c r="AA108" i="4"/>
  <c r="Y109" i="4"/>
  <c r="W110" i="4"/>
  <c r="D20" i="1" s="1"/>
  <c r="AA110" i="4"/>
  <c r="AA111" i="4"/>
  <c r="X111" i="4"/>
  <c r="E23" i="1" s="1"/>
  <c r="Y113" i="4"/>
  <c r="W109" i="5"/>
  <c r="D31" i="1" s="1"/>
  <c r="W114" i="5"/>
  <c r="D34" i="1" s="1"/>
  <c r="AA114" i="5"/>
  <c r="AA109" i="5"/>
  <c r="X110" i="5"/>
  <c r="E32" i="1" s="1"/>
  <c r="X111" i="5"/>
  <c r="E35" i="1" s="1"/>
  <c r="Z113" i="4"/>
  <c r="X109" i="5"/>
  <c r="E31" i="1" s="1"/>
  <c r="X114" i="5"/>
  <c r="E34" i="1" s="1"/>
  <c r="Y110" i="5"/>
  <c r="V111" i="4"/>
  <c r="C23" i="1" s="1"/>
  <c r="Z111" i="4"/>
  <c r="W113" i="4"/>
  <c r="D24" i="1" s="1"/>
  <c r="AA113" i="4"/>
  <c r="Y114" i="5"/>
  <c r="Y109" i="5"/>
  <c r="Z110" i="5"/>
  <c r="X113" i="4"/>
  <c r="E24" i="1" s="1"/>
  <c r="V114" i="5"/>
  <c r="C34" i="1" s="1"/>
  <c r="V109" i="5"/>
  <c r="C31" i="1" s="1"/>
  <c r="Z114" i="5"/>
  <c r="Z109" i="5"/>
  <c r="V110" i="5"/>
  <c r="C32" i="1" s="1"/>
  <c r="Y111" i="5"/>
  <c r="V112" i="5"/>
  <c r="C33" i="1" s="1"/>
  <c r="Z112" i="5"/>
  <c r="X113" i="5"/>
  <c r="E36" i="1" s="1"/>
  <c r="W110" i="5"/>
  <c r="D32" i="1" s="1"/>
  <c r="AA110" i="5"/>
  <c r="V111" i="5"/>
  <c r="C35" i="1" s="1"/>
  <c r="Z111" i="5"/>
  <c r="W112" i="5"/>
  <c r="D33" i="1" s="1"/>
  <c r="AA112" i="5"/>
  <c r="Y113" i="5"/>
  <c r="W114" i="6"/>
  <c r="D46" i="1" s="1"/>
  <c r="W109" i="6"/>
  <c r="D43" i="1" s="1"/>
  <c r="W111" i="5"/>
  <c r="D35" i="1" s="1"/>
  <c r="AA111" i="5"/>
  <c r="X112" i="5"/>
  <c r="E33" i="1" s="1"/>
  <c r="V113" i="5"/>
  <c r="C36" i="1" s="1"/>
  <c r="Z113" i="5"/>
  <c r="X109" i="6"/>
  <c r="E43" i="1" s="1"/>
  <c r="X114" i="6"/>
  <c r="E46" i="1" s="1"/>
  <c r="Y112" i="5"/>
  <c r="W113" i="5"/>
  <c r="D36" i="1" s="1"/>
  <c r="AA113" i="5"/>
  <c r="AA114" i="6"/>
  <c r="AA109" i="6"/>
  <c r="Y114" i="6"/>
  <c r="Y109" i="6"/>
  <c r="W110" i="6"/>
  <c r="D44" i="1" s="1"/>
  <c r="AA110" i="6"/>
  <c r="Z111" i="6"/>
  <c r="V114" i="6"/>
  <c r="C46" i="1" s="1"/>
  <c r="V109" i="6"/>
  <c r="C43" i="1" s="1"/>
  <c r="Z114" i="6"/>
  <c r="Z109" i="6"/>
  <c r="X110" i="6"/>
  <c r="E44" i="1" s="1"/>
  <c r="V111" i="6"/>
  <c r="C47" i="1" s="1"/>
  <c r="AA111" i="6"/>
  <c r="Y110" i="6"/>
  <c r="W111" i="6"/>
  <c r="D47" i="1" s="1"/>
  <c r="X112" i="6"/>
  <c r="E45" i="1" s="1"/>
  <c r="V113" i="6"/>
  <c r="C48" i="1" s="1"/>
  <c r="V110" i="6"/>
  <c r="C44" i="1" s="1"/>
  <c r="Z110" i="6"/>
  <c r="Y111" i="6"/>
  <c r="Z113" i="6"/>
  <c r="V112" i="6"/>
  <c r="C45" i="1" s="1"/>
  <c r="Z112" i="6"/>
  <c r="X113" i="6"/>
  <c r="E48" i="1" s="1"/>
  <c r="W112" i="6"/>
  <c r="D45" i="1" s="1"/>
  <c r="AA112" i="6"/>
  <c r="Y113" i="6"/>
  <c r="X111" i="6"/>
  <c r="E47" i="1" s="1"/>
  <c r="Y112" i="6"/>
  <c r="W113" i="6"/>
  <c r="D48" i="1" s="1"/>
  <c r="AA113" i="6"/>
  <c r="R107" i="3"/>
  <c r="AC4" i="2"/>
  <c r="Q115" i="3"/>
  <c r="Q114" i="3"/>
  <c r="Q107" i="3"/>
  <c r="J4" i="3"/>
  <c r="J5" i="3"/>
  <c r="J6" i="3"/>
  <c r="J7" i="3"/>
  <c r="J12" i="3"/>
  <c r="J13" i="3"/>
  <c r="J14" i="3"/>
  <c r="J15" i="3"/>
  <c r="J20" i="3"/>
  <c r="J21" i="3"/>
  <c r="J22" i="3"/>
  <c r="J23" i="3"/>
  <c r="Q109" i="3"/>
  <c r="J28" i="3"/>
  <c r="J29" i="3"/>
  <c r="J30" i="3"/>
  <c r="J31" i="3"/>
  <c r="J36" i="3"/>
  <c r="J37" i="3"/>
  <c r="J38" i="3"/>
  <c r="J39" i="3"/>
  <c r="J44" i="3"/>
  <c r="J45" i="3"/>
  <c r="J46" i="3"/>
  <c r="J47" i="3"/>
  <c r="J110" i="3" s="1"/>
  <c r="R52" i="3"/>
  <c r="S55" i="3"/>
  <c r="R55" i="3"/>
  <c r="S60" i="3"/>
  <c r="R60" i="3"/>
  <c r="J111" i="3"/>
  <c r="S64" i="3"/>
  <c r="R64" i="3"/>
  <c r="J113" i="3"/>
  <c r="R108" i="4"/>
  <c r="I115" i="3"/>
  <c r="I114" i="3"/>
  <c r="I107" i="3"/>
  <c r="T15" i="3"/>
  <c r="I109" i="3"/>
  <c r="R40" i="3"/>
  <c r="R41" i="3"/>
  <c r="R42" i="3"/>
  <c r="R43" i="3"/>
  <c r="T47" i="3"/>
  <c r="R48" i="3"/>
  <c r="R49" i="3"/>
  <c r="R50" i="3"/>
  <c r="R51" i="3"/>
  <c r="S61" i="3"/>
  <c r="R61" i="3"/>
  <c r="R110" i="4"/>
  <c r="S107" i="3"/>
  <c r="F5" i="1" s="1"/>
  <c r="R53" i="3"/>
  <c r="S62" i="3"/>
  <c r="R62" i="3"/>
  <c r="J108" i="4"/>
  <c r="T3" i="3"/>
  <c r="T27" i="3"/>
  <c r="S111" i="3"/>
  <c r="F11" i="1" s="1"/>
  <c r="T63" i="3"/>
  <c r="S80" i="3"/>
  <c r="S81" i="3"/>
  <c r="S82" i="3"/>
  <c r="S83" i="3"/>
  <c r="S88" i="3"/>
  <c r="S89" i="3"/>
  <c r="S90" i="3"/>
  <c r="S91" i="3"/>
  <c r="S96" i="3"/>
  <c r="S97" i="3"/>
  <c r="S98" i="3"/>
  <c r="S99" i="3"/>
  <c r="S104" i="3"/>
  <c r="S105" i="3"/>
  <c r="S106" i="3"/>
  <c r="Q115" i="4"/>
  <c r="Q114" i="4"/>
  <c r="Q107" i="4"/>
  <c r="S4" i="4"/>
  <c r="S5" i="4"/>
  <c r="S6" i="4"/>
  <c r="S7" i="4"/>
  <c r="S12" i="4"/>
  <c r="S13" i="4"/>
  <c r="S14" i="4"/>
  <c r="S15" i="4"/>
  <c r="S20" i="4"/>
  <c r="S21" i="4"/>
  <c r="S22" i="4"/>
  <c r="S23" i="4"/>
  <c r="S28" i="4"/>
  <c r="S29" i="4"/>
  <c r="S30" i="4"/>
  <c r="S31" i="4"/>
  <c r="S36" i="4"/>
  <c r="S37" i="4"/>
  <c r="S38" i="4"/>
  <c r="S39" i="4"/>
  <c r="S44" i="4"/>
  <c r="S45" i="4"/>
  <c r="S46" i="4"/>
  <c r="S47" i="4"/>
  <c r="S52" i="4"/>
  <c r="S53" i="4"/>
  <c r="S54" i="4"/>
  <c r="S55" i="4"/>
  <c r="S60" i="4"/>
  <c r="T63" i="4"/>
  <c r="T111" i="4" s="1"/>
  <c r="G23" i="1" s="1"/>
  <c r="R65" i="4"/>
  <c r="S65" i="4"/>
  <c r="S76" i="4"/>
  <c r="J76" i="4"/>
  <c r="S77" i="4"/>
  <c r="J77" i="4"/>
  <c r="S78" i="4"/>
  <c r="J78" i="4"/>
  <c r="S91" i="4"/>
  <c r="J91" i="4"/>
  <c r="R68" i="3"/>
  <c r="R69" i="3"/>
  <c r="R70" i="3"/>
  <c r="R71" i="3"/>
  <c r="R76" i="3"/>
  <c r="R77" i="3"/>
  <c r="R78" i="3"/>
  <c r="R79" i="3"/>
  <c r="R112" i="3" s="1"/>
  <c r="I115" i="4"/>
  <c r="I114" i="4"/>
  <c r="I107" i="4"/>
  <c r="R114" i="4"/>
  <c r="R107" i="4"/>
  <c r="T108" i="4"/>
  <c r="G18" i="1" s="1"/>
  <c r="R109" i="4"/>
  <c r="T110" i="4"/>
  <c r="G20" i="1" s="1"/>
  <c r="S64" i="4"/>
  <c r="J64" i="4"/>
  <c r="S68" i="4"/>
  <c r="J68" i="4"/>
  <c r="S69" i="4"/>
  <c r="J69" i="4"/>
  <c r="S70" i="4"/>
  <c r="J70" i="4"/>
  <c r="S71" i="4"/>
  <c r="J71" i="4"/>
  <c r="I112" i="3"/>
  <c r="J51" i="4"/>
  <c r="J56" i="4"/>
  <c r="J57" i="4"/>
  <c r="J58" i="4"/>
  <c r="J59" i="4"/>
  <c r="Q111" i="4"/>
  <c r="T3" i="4"/>
  <c r="I108" i="4"/>
  <c r="T27" i="4"/>
  <c r="T109" i="4" s="1"/>
  <c r="G19" i="1" s="1"/>
  <c r="I110" i="4"/>
  <c r="R63" i="4"/>
  <c r="Q113" i="4"/>
  <c r="T91" i="4"/>
  <c r="J109" i="5"/>
  <c r="I115" i="5"/>
  <c r="I114" i="5"/>
  <c r="I109" i="5"/>
  <c r="R27" i="5"/>
  <c r="R32" i="5"/>
  <c r="R33" i="5"/>
  <c r="R34" i="5"/>
  <c r="R35" i="5"/>
  <c r="J49" i="5"/>
  <c r="T51" i="5"/>
  <c r="S54" i="5"/>
  <c r="R54" i="5"/>
  <c r="T58" i="5"/>
  <c r="S60" i="5"/>
  <c r="R60" i="5"/>
  <c r="S64" i="5"/>
  <c r="S111" i="5" s="1"/>
  <c r="F35" i="1" s="1"/>
  <c r="R64" i="5"/>
  <c r="I110" i="5"/>
  <c r="S47" i="5"/>
  <c r="J48" i="5"/>
  <c r="S55" i="5"/>
  <c r="R55" i="5"/>
  <c r="T56" i="5"/>
  <c r="S61" i="5"/>
  <c r="R61" i="5"/>
  <c r="T27" i="5"/>
  <c r="R36" i="5"/>
  <c r="R37" i="5"/>
  <c r="R38" i="5"/>
  <c r="R39" i="5"/>
  <c r="R44" i="5"/>
  <c r="R45" i="5"/>
  <c r="S46" i="5"/>
  <c r="T47" i="5"/>
  <c r="S52" i="5"/>
  <c r="R52" i="5"/>
  <c r="S62" i="5"/>
  <c r="R62" i="5"/>
  <c r="J96" i="4"/>
  <c r="J97" i="4"/>
  <c r="J98" i="4"/>
  <c r="J99" i="4"/>
  <c r="Q115" i="5"/>
  <c r="Q114" i="5"/>
  <c r="Q109" i="5"/>
  <c r="T48" i="5"/>
  <c r="S53" i="5"/>
  <c r="R53" i="5"/>
  <c r="R110" i="5" s="1"/>
  <c r="T57" i="5"/>
  <c r="J50" i="5"/>
  <c r="J51" i="5"/>
  <c r="J58" i="5"/>
  <c r="T63" i="5"/>
  <c r="T111" i="5" s="1"/>
  <c r="G35" i="1" s="1"/>
  <c r="J66" i="5"/>
  <c r="J67" i="5"/>
  <c r="J72" i="5"/>
  <c r="J73" i="5"/>
  <c r="J74" i="5"/>
  <c r="J75" i="5"/>
  <c r="J80" i="5"/>
  <c r="J81" i="5"/>
  <c r="J82" i="5"/>
  <c r="J83" i="5"/>
  <c r="J90" i="5"/>
  <c r="J91" i="5"/>
  <c r="J98" i="5"/>
  <c r="J99" i="5"/>
  <c r="S104" i="5"/>
  <c r="R105" i="5"/>
  <c r="S106" i="5"/>
  <c r="J109" i="6"/>
  <c r="S30" i="6"/>
  <c r="R30" i="6"/>
  <c r="S36" i="6"/>
  <c r="S37" i="6"/>
  <c r="S38" i="6"/>
  <c r="S39" i="6"/>
  <c r="Q111" i="5"/>
  <c r="R68" i="5"/>
  <c r="R69" i="5"/>
  <c r="R70" i="5"/>
  <c r="R71" i="5"/>
  <c r="R76" i="5"/>
  <c r="R77" i="5"/>
  <c r="R78" i="5"/>
  <c r="R79" i="5"/>
  <c r="R84" i="5"/>
  <c r="R85" i="5"/>
  <c r="R86" i="5"/>
  <c r="R87" i="5"/>
  <c r="T91" i="5"/>
  <c r="R92" i="5"/>
  <c r="R93" i="5"/>
  <c r="R94" i="5"/>
  <c r="R95" i="5"/>
  <c r="R100" i="5"/>
  <c r="R101" i="5"/>
  <c r="R102" i="5"/>
  <c r="R103" i="5"/>
  <c r="S31" i="6"/>
  <c r="S28" i="6"/>
  <c r="R28" i="6"/>
  <c r="I114" i="6"/>
  <c r="I115" i="6"/>
  <c r="I109" i="6"/>
  <c r="T27" i="6"/>
  <c r="S29" i="6"/>
  <c r="R29" i="6"/>
  <c r="R31" i="6"/>
  <c r="R36" i="6"/>
  <c r="R37" i="6"/>
  <c r="R38" i="6"/>
  <c r="R39" i="6"/>
  <c r="R44" i="6"/>
  <c r="R45" i="6"/>
  <c r="R46" i="6"/>
  <c r="R47" i="6"/>
  <c r="R52" i="6"/>
  <c r="R53" i="6"/>
  <c r="R54" i="6"/>
  <c r="R55" i="6"/>
  <c r="S58" i="6"/>
  <c r="J59" i="6"/>
  <c r="T63" i="6"/>
  <c r="T111" i="6" s="1"/>
  <c r="G47" i="1" s="1"/>
  <c r="J66" i="6"/>
  <c r="Q115" i="6"/>
  <c r="Q114" i="6"/>
  <c r="Q109" i="6"/>
  <c r="S57" i="6"/>
  <c r="T60" i="6"/>
  <c r="J62" i="6"/>
  <c r="S63" i="6"/>
  <c r="J64" i="6"/>
  <c r="J111" i="6" s="1"/>
  <c r="S65" i="6"/>
  <c r="J112" i="6"/>
  <c r="T91" i="6"/>
  <c r="Q113" i="6"/>
  <c r="T47" i="6"/>
  <c r="T112" i="6"/>
  <c r="G45" i="1" s="1"/>
  <c r="S67" i="6"/>
  <c r="S72" i="6"/>
  <c r="S73" i="6"/>
  <c r="S74" i="6"/>
  <c r="S75" i="6"/>
  <c r="S80" i="6"/>
  <c r="S81" i="6"/>
  <c r="S82" i="6"/>
  <c r="S83" i="6"/>
  <c r="S88" i="6"/>
  <c r="S89" i="6"/>
  <c r="S90" i="6"/>
  <c r="S91" i="6"/>
  <c r="S96" i="6"/>
  <c r="S97" i="6"/>
  <c r="S98" i="6"/>
  <c r="S99" i="6"/>
  <c r="S104" i="6"/>
  <c r="S105" i="6"/>
  <c r="S106" i="6"/>
  <c r="Q112" i="6"/>
  <c r="AK3" i="2"/>
  <c r="AO3" i="2"/>
  <c r="AE3" i="2"/>
  <c r="AI3" i="2"/>
  <c r="AL3" i="2"/>
  <c r="AP3" i="2"/>
  <c r="AG3" i="2"/>
  <c r="AF3" i="2"/>
  <c r="AD3" i="2"/>
  <c r="AJ3" i="2"/>
  <c r="AQ3" i="2"/>
  <c r="J110" i="5" l="1"/>
  <c r="S110" i="6"/>
  <c r="F44" i="1" s="1"/>
  <c r="J110" i="6"/>
  <c r="S112" i="5"/>
  <c r="F33" i="1" s="1"/>
  <c r="T112" i="3"/>
  <c r="G9" i="1" s="1"/>
  <c r="T113" i="6"/>
  <c r="G48" i="1" s="1"/>
  <c r="S112" i="3"/>
  <c r="F9" i="1" s="1"/>
  <c r="S109" i="3"/>
  <c r="F7" i="1" s="1"/>
  <c r="R113" i="3"/>
  <c r="J107" i="4"/>
  <c r="J115" i="3"/>
  <c r="T112" i="5"/>
  <c r="G33" i="1" s="1"/>
  <c r="S108" i="3"/>
  <c r="F6" i="1" s="1"/>
  <c r="S114" i="6"/>
  <c r="F46" i="1" s="1"/>
  <c r="J115" i="6"/>
  <c r="S112" i="6"/>
  <c r="F45" i="1" s="1"/>
  <c r="T109" i="3"/>
  <c r="G7" i="1" s="1"/>
  <c r="J107" i="3"/>
  <c r="S113" i="4"/>
  <c r="F24" i="1" s="1"/>
  <c r="R109" i="3"/>
  <c r="R109" i="6"/>
  <c r="S109" i="6"/>
  <c r="F43" i="1" s="1"/>
  <c r="J112" i="5"/>
  <c r="T108" i="3"/>
  <c r="G6" i="1" s="1"/>
  <c r="R113" i="5"/>
  <c r="J114" i="4"/>
  <c r="T113" i="5"/>
  <c r="G36" i="1" s="1"/>
  <c r="T113" i="4"/>
  <c r="G24" i="1" s="1"/>
  <c r="J114" i="3"/>
  <c r="J109" i="3"/>
  <c r="T110" i="6"/>
  <c r="G44" i="1" s="1"/>
  <c r="Q116" i="6"/>
  <c r="R114" i="6"/>
  <c r="S113" i="5"/>
  <c r="F36" i="1" s="1"/>
  <c r="S114" i="5"/>
  <c r="F34" i="1" s="1"/>
  <c r="J110" i="4"/>
  <c r="R111" i="4"/>
  <c r="J111" i="5"/>
  <c r="R111" i="5"/>
  <c r="J111" i="4"/>
  <c r="T110" i="3"/>
  <c r="G8" i="1" s="1"/>
  <c r="T111" i="3"/>
  <c r="G11" i="1" s="1"/>
  <c r="R110" i="3"/>
  <c r="S114" i="3"/>
  <c r="F10" i="1" s="1"/>
  <c r="R111" i="3"/>
  <c r="S111" i="4"/>
  <c r="F23" i="1" s="1"/>
  <c r="S109" i="4"/>
  <c r="F19" i="1" s="1"/>
  <c r="S107" i="4"/>
  <c r="F17" i="1" s="1"/>
  <c r="S114" i="4"/>
  <c r="F22" i="1" s="1"/>
  <c r="R115" i="6"/>
  <c r="R116" i="6" s="1"/>
  <c r="J114" i="5"/>
  <c r="J113" i="4"/>
  <c r="S110" i="4"/>
  <c r="F20" i="1" s="1"/>
  <c r="S108" i="4"/>
  <c r="F18" i="1" s="1"/>
  <c r="T114" i="3"/>
  <c r="G10" i="1" s="1"/>
  <c r="T107" i="3"/>
  <c r="G5" i="1" s="1"/>
  <c r="AC5" i="2"/>
  <c r="R114" i="3"/>
  <c r="S111" i="6"/>
  <c r="F47" i="1" s="1"/>
  <c r="Q116" i="5"/>
  <c r="T114" i="6"/>
  <c r="G46" i="1" s="1"/>
  <c r="T109" i="6"/>
  <c r="G43" i="1" s="1"/>
  <c r="J113" i="5"/>
  <c r="T110" i="5"/>
  <c r="G32" i="1" s="1"/>
  <c r="T114" i="5"/>
  <c r="G34" i="1" s="1"/>
  <c r="T109" i="5"/>
  <c r="G31" i="1" s="1"/>
  <c r="J115" i="5"/>
  <c r="T114" i="4"/>
  <c r="G22" i="1" s="1"/>
  <c r="T107" i="4"/>
  <c r="G17" i="1" s="1"/>
  <c r="S109" i="5"/>
  <c r="F31" i="1" s="1"/>
  <c r="J108" i="3"/>
  <c r="S110" i="3"/>
  <c r="F8" i="1" s="1"/>
  <c r="R115" i="3"/>
  <c r="R116" i="3" s="1"/>
  <c r="Q116" i="4"/>
  <c r="S113" i="3"/>
  <c r="F12" i="1" s="1"/>
  <c r="S113" i="6"/>
  <c r="F48" i="1" s="1"/>
  <c r="R110" i="6"/>
  <c r="R112" i="5"/>
  <c r="S110" i="5"/>
  <c r="F32" i="1" s="1"/>
  <c r="R114" i="5"/>
  <c r="R109" i="5"/>
  <c r="R115" i="5"/>
  <c r="J115" i="4"/>
  <c r="R115" i="4"/>
  <c r="Q116" i="3"/>
  <c r="AF4" i="2"/>
  <c r="AP4" i="2"/>
  <c r="AG4" i="2"/>
  <c r="AN4" i="2"/>
  <c r="AD4" i="2"/>
  <c r="AI4" i="2"/>
  <c r="AQ4" i="2"/>
  <c r="AL4" i="2"/>
  <c r="AO4" i="2"/>
  <c r="AJ4" i="2"/>
  <c r="AK4" i="2"/>
  <c r="AE4" i="2"/>
  <c r="R116" i="5" l="1"/>
  <c r="R116" i="4"/>
  <c r="AC6" i="2"/>
  <c r="AO5" i="2"/>
  <c r="AG5" i="2"/>
  <c r="AK5" i="2"/>
  <c r="AE5" i="2"/>
  <c r="AD5" i="2"/>
  <c r="AI5" i="2"/>
  <c r="AE6" i="2"/>
  <c r="AQ6" i="2"/>
  <c r="AJ5" i="2"/>
  <c r="AG6" i="2"/>
  <c r="AP6" i="2"/>
  <c r="AF5" i="2"/>
  <c r="AQ5" i="2"/>
  <c r="AN5" i="2"/>
  <c r="AP5" i="2"/>
  <c r="AF6" i="2"/>
  <c r="AD6" i="2"/>
  <c r="AJ6" i="2"/>
  <c r="AL5" i="2"/>
  <c r="AO6" i="2"/>
  <c r="AN6" i="2"/>
  <c r="AE13" i="2" l="1"/>
  <c r="AE16" i="2" s="1"/>
  <c r="AE12" i="2"/>
  <c r="AE15" i="2" s="1"/>
  <c r="AK6" i="2"/>
  <c r="AI6" i="2"/>
  <c r="AL6" i="2"/>
  <c r="AG13" i="2" l="1"/>
  <c r="AG16" i="2" s="1"/>
  <c r="AG12" i="2"/>
  <c r="AG15" i="2" s="1"/>
  <c r="AD13" i="2"/>
  <c r="AD16" i="2" s="1"/>
  <c r="AD12" i="2"/>
  <c r="AD15" i="2" s="1"/>
  <c r="AF13" i="2"/>
  <c r="AF16" i="2" s="1"/>
  <c r="AF12" i="2"/>
  <c r="AF15" i="2" s="1"/>
</calcChain>
</file>

<file path=xl/sharedStrings.xml><?xml version="1.0" encoding="utf-8"?>
<sst xmlns="http://schemas.openxmlformats.org/spreadsheetml/2006/main" count="1257" uniqueCount="530">
  <si>
    <t xml:space="preserve">All Intra Main10 </t>
  </si>
  <si>
    <t>Reference:</t>
  </si>
  <si>
    <t>[vcgit.hhi.fraunhofer.de][jvet][VVCSoftware_BMS.git][599ab8f][VTM]</t>
  </si>
  <si>
    <t>Y</t>
  </si>
  <si>
    <t>U</t>
  </si>
  <si>
    <t>V</t>
  </si>
  <si>
    <t>EncT</t>
  </si>
  <si>
    <t>DecT</t>
  </si>
  <si>
    <t>Tested:</t>
  </si>
  <si>
    <t>[vcgit.hhi.fraunhofer.de][jvet][VVCSoftware_BMS.git][599ab8f5c59c97f0ef1735e49c9449ec9e0047be][VTM_build]</t>
  </si>
  <si>
    <t>Class A1</t>
  </si>
  <si>
    <t>Class A2</t>
  </si>
  <si>
    <t>Class B</t>
  </si>
  <si>
    <t>Class C</t>
  </si>
  <si>
    <t>Class E</t>
  </si>
  <si>
    <t xml:space="preserve">Overall </t>
  </si>
  <si>
    <t>Note: BD-rate is computed using piece-wise cubic interpolation</t>
  </si>
  <si>
    <t>Class D</t>
  </si>
  <si>
    <t>Class F (optional)</t>
  </si>
  <si>
    <t>Cluster information</t>
  </si>
  <si>
    <t>Random Access Main 10</t>
  </si>
  <si>
    <t>CPU type:</t>
  </si>
  <si>
    <t>Intel Xeon E5-2697A v4</t>
  </si>
  <si>
    <t>Hyperthreading:</t>
  </si>
  <si>
    <t>off</t>
  </si>
  <si>
    <t>Turbo mode:</t>
  </si>
  <si>
    <t>Compiler:</t>
  </si>
  <si>
    <t>gcc 7.2.1</t>
  </si>
  <si>
    <t>Overall</t>
  </si>
  <si>
    <t>OS:</t>
  </si>
  <si>
    <t>Scientific Linux 7.4</t>
  </si>
  <si>
    <t>Decoding options</t>
  </si>
  <si>
    <t xml:space="preserve">Low delay B Main10 </t>
  </si>
  <si>
    <t>Bitstream concatenation:</t>
  </si>
  <si>
    <t>yes</t>
  </si>
  <si>
    <t>MD5 SEI:</t>
  </si>
  <si>
    <t>no</t>
  </si>
  <si>
    <t>YUV output:</t>
  </si>
  <si>
    <t>SIMD options:</t>
  </si>
  <si>
    <t>SSE2</t>
  </si>
  <si>
    <t>BMS macro (VTM decoding)</t>
  </si>
  <si>
    <t>(on/off)</t>
  </si>
  <si>
    <t xml:space="preserve">Low delay P Main10 </t>
  </si>
  <si>
    <t>Select the coding condition and sequence from the dropbox below</t>
  </si>
  <si>
    <t>Line 1 - Reference</t>
  </si>
  <si>
    <t>Line 2 - Test</t>
  </si>
  <si>
    <t>Line 3 - Reference2</t>
  </si>
  <si>
    <t>RA-10</t>
  </si>
  <si>
    <t>Tango2</t>
  </si>
  <si>
    <t>kbps</t>
  </si>
  <si>
    <t>Y psnr</t>
  </si>
  <si>
    <t>U psnr</t>
  </si>
  <si>
    <t>V psnr</t>
  </si>
  <si>
    <t>AI-10</t>
  </si>
  <si>
    <t>FoodMarket4</t>
  </si>
  <si>
    <t>LDB-10</t>
  </si>
  <si>
    <t>Campfire</t>
  </si>
  <si>
    <t>LDP-10</t>
  </si>
  <si>
    <t>CatRobot1</t>
  </si>
  <si>
    <t>DaylightRoad2</t>
  </si>
  <si>
    <t>ParkRunning3</t>
  </si>
  <si>
    <t>MarketPlace</t>
  </si>
  <si>
    <t>RitualDance</t>
  </si>
  <si>
    <t>Cactus</t>
  </si>
  <si>
    <t>rate</t>
  </si>
  <si>
    <t>y</t>
  </si>
  <si>
    <t>u</t>
  </si>
  <si>
    <t>v</t>
  </si>
  <si>
    <t>BasketballDrive</t>
  </si>
  <si>
    <t>BQTerrace</t>
  </si>
  <si>
    <t>BasketballDrill</t>
  </si>
  <si>
    <t>BQMall</t>
  </si>
  <si>
    <t>PartySceneC</t>
  </si>
  <si>
    <t>RaceHorsesC</t>
  </si>
  <si>
    <t>BasketballPass</t>
  </si>
  <si>
    <t>BQSquare</t>
  </si>
  <si>
    <t>BlowingBubbles</t>
  </si>
  <si>
    <t>RaceHorses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</si>
  <si>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</si>
  <si>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</si>
  <si>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</si>
  <si>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</si>
  <si>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</si>
  <si>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</si>
  <si>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</si>
  <si>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</si>
  <si>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</si>
  <si>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</si>
  <si>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</si>
  <si>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</si>
  <si>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</si>
  <si>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</si>
  <si>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</si>
  <si>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EncR</t>
  </si>
  <si>
    <t>DecR</t>
  </si>
  <si>
    <t>4K</t>
  </si>
  <si>
    <t>1080p</t>
  </si>
  <si>
    <t>WVGA</t>
  </si>
  <si>
    <t>PartyScene</t>
  </si>
  <si>
    <t>WQVGA</t>
  </si>
  <si>
    <t>ClassE</t>
  </si>
  <si>
    <t>720p</t>
  </si>
  <si>
    <t>ClassF</t>
  </si>
  <si>
    <t>Class F</t>
  </si>
  <si>
    <t>All</t>
  </si>
  <si>
    <t>Time geomean</t>
  </si>
  <si>
    <t>Time ratio</t>
  </si>
  <si>
    <t>Time sum (hours)</t>
  </si>
  <si>
    <t>Enc</t>
  </si>
  <si>
    <t>Dec</t>
  </si>
  <si>
    <t>ArenaOfValor</t>
  </si>
  <si>
    <t>Tango2.Q22.jvet10.ai</t>
  </si>
  <si>
    <t>Tango2.Q27.jvet10.ai</t>
  </si>
  <si>
    <t>Tango2.Q32.jvet10.ai</t>
  </si>
  <si>
    <t>Tango2.Q37.jvet10.ai</t>
  </si>
  <si>
    <t>FoodMarket4.Q22.jvet10.ai</t>
  </si>
  <si>
    <t>FoodMarket4.Q27.jvet10.ai</t>
  </si>
  <si>
    <t>FoodMarket4.Q32.jvet10.ai</t>
  </si>
  <si>
    <t>FoodMarket4.Q37.jvet10.ai</t>
  </si>
  <si>
    <t>CampfireParty2.Q22.jvet10.ai</t>
  </si>
  <si>
    <t>CampfireParty2.Q27.jvet10.ai</t>
  </si>
  <si>
    <t>CampfireParty2.Q32.jvet10.ai</t>
  </si>
  <si>
    <t>CampfireParty2.Q37.jvet10.ai</t>
  </si>
  <si>
    <t>CatRobot1.Q22.jvet10.ai</t>
  </si>
  <si>
    <t>CatRobot1.Q27.jvet10.ai</t>
  </si>
  <si>
    <t>CatRobot1.Q32.jvet10.ai</t>
  </si>
  <si>
    <t>CatRobot1.Q37.jvet10.ai</t>
  </si>
  <si>
    <t>DaylightRoad2.Q22.jvet10.ai</t>
  </si>
  <si>
    <t>DaylightRoad2.Q27.jvet10.ai</t>
  </si>
  <si>
    <t>DaylightRoad2.Q32.jvet10.ai</t>
  </si>
  <si>
    <t>DaylightRoad2.Q37.jvet10.ai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</si>
  <si>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</si>
  <si>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</si>
  <si>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</si>
  <si>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</si>
  <si>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</si>
  <si>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</si>
  <si>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</si>
  <si>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</si>
  <si>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</si>
  <si>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</si>
  <si>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</si>
  <si>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</si>
  <si>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</si>
  <si>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</si>
  <si>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</si>
  <si>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</si>
  <si>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</si>
  <si>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</si>
  <si>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</si>
  <si>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</si>
  <si>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</si>
  <si>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</si>
  <si>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</si>
  <si>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</si>
  <si>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</si>
  <si>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</si>
  <si>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</si>
  <si>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</si>
  <si>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</si>
  <si>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</si>
  <si>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</si>
  <si>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</si>
  <si>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</si>
  <si>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</si>
  <si>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</si>
  <si>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</si>
  <si>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</si>
  <si>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</si>
  <si>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</si>
  <si>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</si>
  <si>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</si>
  <si>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</si>
  <si>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</si>
  <si>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</si>
  <si>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</si>
  <si>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</si>
  <si>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</si>
  <si>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</si>
  <si>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</si>
  <si>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</si>
  <si>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</si>
  <si>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</si>
  <si>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</si>
  <si>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</si>
  <si>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</si>
  <si>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</si>
  <si>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</si>
  <si>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</si>
  <si>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</si>
  <si>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</si>
  <si>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</si>
  <si>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</si>
  <si>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</si>
  <si>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</si>
  <si>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</si>
  <si>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</si>
  <si>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</si>
  <si>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</si>
  <si>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</si>
  <si>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</si>
  <si>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</si>
  <si>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</si>
  <si>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ChinaSpeed.Q22.jvet10.ai</t>
  </si>
  <si>
    <t>ChinaSpeed.Q27.jvet10.ai</t>
  </si>
  <si>
    <t>ChinaSpeed.Q32.jvet10.ai</t>
  </si>
  <si>
    <t>ChinaSpeed.Q37.jvet10.ai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</si>
  <si>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</si>
  <si>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</si>
  <si>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</si>
  <si>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</si>
  <si>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</si>
  <si>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</si>
  <si>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</si>
  <si>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</si>
  <si>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</si>
  <si>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</si>
  <si>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</si>
  <si>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</si>
  <si>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FoodMarket4.Q22.jvet10.ra</t>
  </si>
  <si>
    <t>FoodMarket4.Q27.jvet10.ra</t>
  </si>
  <si>
    <t>FoodMarket4.Q32.jvet10.ra</t>
  </si>
  <si>
    <t>FoodMarket4.Q37.jvet10.ra</t>
  </si>
  <si>
    <t>CampfireParty2.Q22.jvet10.ra</t>
  </si>
  <si>
    <t>CampfireParty2.Q27.jvet10.ra</t>
  </si>
  <si>
    <t>CampfireParty2.Q32.jvet10.ra</t>
  </si>
  <si>
    <t>CampfireParty2.Q37.jvet10.ra</t>
  </si>
  <si>
    <t>CatRobot1.Q22.jvet10.ra</t>
  </si>
  <si>
    <t>CatRobot1.Q27.jvet10.ra</t>
  </si>
  <si>
    <t>CatRobot1.Q32.jvet10.ra</t>
  </si>
  <si>
    <t>CatRobot1.Q37.jvet10.ra</t>
  </si>
  <si>
    <t>DaylightRoad2.Q22.jvet10.ra</t>
  </si>
  <si>
    <t>DaylightRoad2.Q27.jvet10.ra</t>
  </si>
  <si>
    <t>DaylightRoad2.Q32.jvet10.ra</t>
  </si>
  <si>
    <t>DaylightRoad2.Q37.jvet10.ra</t>
  </si>
  <si>
    <t>ParkRunning3.Q22.jvet10.ra</t>
  </si>
  <si>
    <t>ParkRunning3.Q27.jvet10.ra</t>
  </si>
  <si>
    <t>ParkRunning3.Q32.jvet10.ra</t>
  </si>
  <si>
    <t>ParkRunning3.Q37.jvet10.ra</t>
  </si>
  <si>
    <t>MarketPlace.Q22.jvet10.ra</t>
  </si>
  <si>
    <t>MarketPlace.Q27.jvet10.ra</t>
  </si>
  <si>
    <t>MarketPlace.Q32.jvet10.ra</t>
  </si>
  <si>
    <t>MarketPlace.Q37.jvet10.ra</t>
  </si>
  <si>
    <t>RitualDance.Q22.jvet10.ra</t>
  </si>
  <si>
    <t>RitualDance.Q27.jvet10.ra</t>
  </si>
  <si>
    <t>RitualDance.Q32.jvet10.ra</t>
  </si>
  <si>
    <t>RitualDance.Q37.jvet10.ra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</si>
  <si>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</si>
  <si>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</si>
  <si>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</si>
  <si>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</si>
  <si>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</si>
  <si>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</si>
  <si>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</si>
  <si>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</si>
  <si>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</si>
  <si>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</si>
  <si>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</si>
  <si>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</si>
  <si>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</si>
  <si>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</si>
  <si>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</si>
  <si>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</si>
  <si>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</si>
  <si>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</si>
  <si>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</si>
  <si>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</si>
  <si>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</si>
  <si>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</si>
  <si>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</si>
  <si>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</si>
  <si>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</si>
  <si>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</si>
  <si>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</si>
  <si>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</si>
  <si>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</si>
  <si>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</si>
  <si>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</si>
  <si>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</si>
  <si>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</si>
  <si>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</si>
  <si>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</si>
  <si>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</si>
  <si>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</si>
  <si>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</si>
  <si>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</si>
  <si>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</si>
  <si>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</si>
  <si>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</si>
  <si>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</si>
  <si>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</si>
  <si>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</si>
  <si>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</si>
  <si>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</si>
  <si>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</si>
  <si>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</si>
  <si>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</si>
  <si>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</si>
  <si>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</si>
  <si>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</si>
  <si>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</si>
  <si>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</si>
  <si>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</si>
  <si>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</si>
  <si>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</si>
  <si>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</si>
  <si>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</si>
  <si>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ChinaSpeed.Q22.jvet10.ra</t>
  </si>
  <si>
    <t>ChinaSpeed.Q27.jvet10.ra</t>
  </si>
  <si>
    <t>ChinaSpeed.Q32.jvet10.ra</t>
  </si>
  <si>
    <t>ChinaSpeed.Q37.jvet10.ra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</si>
  <si>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</si>
  <si>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</si>
  <si>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</si>
  <si>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</si>
  <si>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</si>
  <si>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</si>
  <si>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</si>
  <si>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</si>
  <si>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</si>
  <si>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</si>
  <si>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</si>
  <si>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</si>
  <si>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FoodMarket4.Q22.jvet10.lb</t>
  </si>
  <si>
    <t>FoodMarket4.Q27.jvet10.lb</t>
  </si>
  <si>
    <t>FoodMarket4.Q32.jvet10.lb</t>
  </si>
  <si>
    <t>FoodMarket4.Q37.jvet10.lb</t>
  </si>
  <si>
    <t>CampfireParty2.Q22.jvet10.lb</t>
  </si>
  <si>
    <t>CampfireParty2.Q27.jvet10.lb</t>
  </si>
  <si>
    <t>CampfireParty2.Q32.jvet10.lb</t>
  </si>
  <si>
    <t>CampfireParty2.Q37.jvet10.lb</t>
  </si>
  <si>
    <t>CatRobot1.Q22.jvet10.lb</t>
  </si>
  <si>
    <t>CatRobot1.Q27.jvet10.lb</t>
  </si>
  <si>
    <t>CatRobot1.Q32.jvet10.lb</t>
  </si>
  <si>
    <t>CatRobot1.Q37.jvet10.lb</t>
  </si>
  <si>
    <t>DaylightRoad2.Q22.jvet10.lb</t>
  </si>
  <si>
    <t>DaylightRoad2.Q27.jvet10.lb</t>
  </si>
  <si>
    <t>DaylightRoad2.Q32.jvet10.lb</t>
  </si>
  <si>
    <t>DaylightRoad2.Q37.jvet10.lb</t>
  </si>
  <si>
    <t>ParkRunning3.Q22.jvet10.lb</t>
  </si>
  <si>
    <t>ParkRunning3.Q27.jvet10.lb</t>
  </si>
  <si>
    <t>ParkRunning3.Q32.jvet10.lb</t>
  </si>
  <si>
    <t>ParkRunning3.Q37.jvet10.lb</t>
  </si>
  <si>
    <t>MarketPlace.Q22.jvet10.lb</t>
  </si>
  <si>
    <t>MarketPlace.Q27.jvet10.lb</t>
  </si>
  <si>
    <t>MarketPlace.Q32.jvet10.lb</t>
  </si>
  <si>
    <t>MarketPlace.Q37.jvet10.lb</t>
  </si>
  <si>
    <t>RitualDance.Q22.jvet10.lb</t>
  </si>
  <si>
    <t>RitualDance.Q27.jvet10.lb</t>
  </si>
  <si>
    <t>RitualDance.Q32.jvet10.lb</t>
  </si>
  <si>
    <t>RitualDance.Q37.jvet10.lb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</si>
  <si>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</si>
  <si>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</si>
  <si>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</si>
  <si>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</si>
  <si>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</si>
  <si>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</si>
  <si>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</si>
  <si>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</si>
  <si>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</si>
  <si>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</si>
  <si>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</si>
  <si>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</si>
  <si>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</si>
  <si>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</si>
  <si>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</si>
  <si>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</si>
  <si>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</si>
  <si>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</si>
  <si>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</si>
  <si>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</si>
  <si>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</si>
  <si>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</si>
  <si>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</si>
  <si>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</si>
  <si>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</si>
  <si>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</si>
  <si>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</si>
  <si>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</si>
  <si>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</si>
  <si>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</si>
  <si>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</si>
  <si>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</si>
  <si>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</si>
  <si>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</si>
  <si>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</si>
  <si>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</si>
  <si>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</si>
  <si>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</si>
  <si>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</si>
  <si>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</si>
  <si>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</si>
  <si>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</si>
  <si>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</si>
  <si>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</si>
  <si>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</si>
  <si>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</si>
  <si>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</si>
  <si>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</si>
  <si>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</si>
  <si>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</si>
  <si>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</si>
  <si>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</si>
  <si>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</si>
  <si>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</si>
  <si>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</si>
  <si>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</si>
  <si>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</si>
  <si>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</si>
  <si>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</si>
  <si>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</si>
  <si>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ChinaSpeed.Q22.jvet10.lb</t>
  </si>
  <si>
    <t>ChinaSpeed.Q27.jvet10.lb</t>
  </si>
  <si>
    <t>ChinaSpeed.Q32.jvet10.lb</t>
  </si>
  <si>
    <t>ChinaSpeed.Q37.jvet10.lb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</si>
  <si>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</si>
  <si>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</si>
  <si>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</si>
  <si>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</si>
  <si>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</si>
  <si>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</si>
  <si>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</si>
  <si>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</si>
  <si>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</si>
  <si>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</si>
  <si>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</si>
  <si>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</si>
  <si>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FoodMarket4.Q22.jvet10.lp</t>
  </si>
  <si>
    <t>FoodMarket4.Q27.jvet10.lp</t>
  </si>
  <si>
    <t>FoodMarket4.Q32.jvet10.lp</t>
  </si>
  <si>
    <t>FoodMarket4.Q37.jvet10.lp</t>
  </si>
  <si>
    <t>CampfireParty2.Q22.jvet10.lp</t>
  </si>
  <si>
    <t>CampfireParty2.Q27.jvet10.lp</t>
  </si>
  <si>
    <t>CampfireParty2.Q32.jvet10.lp</t>
  </si>
  <si>
    <t>CampfireParty2.Q37.jvet10.lp</t>
  </si>
  <si>
    <t>CatRobot1.Q22.jvet10.lp</t>
  </si>
  <si>
    <t>CatRobot1.Q27.jvet10.lp</t>
  </si>
  <si>
    <t>CatRobot1.Q32.jvet10.lp</t>
  </si>
  <si>
    <t>CatRobot1.Q37.jvet10.lp</t>
  </si>
  <si>
    <t>DaylightRoad2.Q22.jvet10.lp</t>
  </si>
  <si>
    <t>DaylightRoad2.Q27.jvet10.lp</t>
  </si>
  <si>
    <t>DaylightRoad2.Q32.jvet10.lp</t>
  </si>
  <si>
    <t>DaylightRoad2.Q37.jvet10.lp</t>
  </si>
  <si>
    <t>ParkRunning3.Q22.jvet10.lp</t>
  </si>
  <si>
    <t>ParkRunning3.Q27.jvet10.lp</t>
  </si>
  <si>
    <t>ParkRunning3.Q32.jvet10.lp</t>
  </si>
  <si>
    <t>MarketPlace.Q22.jvet10.lp</t>
  </si>
  <si>
    <t>MarketPlace.Q27.jvet10.lp</t>
  </si>
  <si>
    <t>MarketPlace.Q32.jvet10.lp</t>
  </si>
  <si>
    <t>MarketPlace.Q37.jvet10.lp</t>
  </si>
  <si>
    <t>RitualDance.Q22.jvet10.lp</t>
  </si>
  <si>
    <t>RitualDance.Q27.jvet10.lp</t>
  </si>
  <si>
    <t>RitualDance.Q32.jvet10.lp</t>
  </si>
  <si>
    <t>RitualDance.Q37.jvet10.lp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</si>
  <si>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</si>
  <si>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</si>
  <si>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</si>
  <si>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</si>
  <si>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</si>
  <si>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</si>
  <si>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</si>
  <si>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</si>
  <si>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</si>
  <si>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</si>
  <si>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</si>
  <si>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</si>
  <si>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</si>
  <si>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</si>
  <si>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</si>
  <si>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</si>
  <si>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</si>
  <si>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</si>
  <si>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</si>
  <si>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</si>
  <si>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</si>
  <si>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</si>
  <si>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</si>
  <si>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</si>
  <si>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</si>
  <si>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</si>
  <si>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</si>
  <si>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</si>
  <si>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</si>
  <si>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</si>
  <si>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</si>
  <si>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</si>
  <si>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</si>
  <si>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</si>
  <si>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</si>
  <si>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</si>
  <si>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</si>
  <si>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</si>
  <si>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</si>
  <si>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</si>
  <si>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</si>
  <si>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</si>
  <si>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</si>
  <si>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</si>
  <si>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</si>
  <si>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</si>
  <si>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</si>
  <si>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</si>
  <si>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</si>
  <si>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</si>
  <si>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</si>
  <si>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</si>
  <si>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</si>
  <si>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</si>
  <si>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</si>
  <si>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</si>
  <si>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</si>
  <si>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</si>
  <si>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</si>
  <si>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</si>
  <si>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ChinaSpeed.Q22.jvet10.lp</t>
  </si>
  <si>
    <t>ChinaSpeed.Q27.jvet10.lp</t>
  </si>
  <si>
    <t>ChinaSpeed.Q32.jvet10.lp</t>
  </si>
  <si>
    <t>ChinaSpeed.Q37.jvet10.lp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</si>
  <si>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</si>
  <si>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</si>
  <si>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</si>
  <si>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</si>
  <si>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</si>
  <si>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</si>
  <si>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</si>
  <si>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</si>
  <si>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5324.7320</t>
  </si>
  <si>
    <t>3168.2816</t>
  </si>
  <si>
    <t>1816.9656</t>
  </si>
  <si>
    <t>1012.5664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</si>
</sst>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"/>
    <numFmt numFmtId="178" formatCode="0.0%"/>
    <numFmt numFmtId="179" formatCode="0.00000%"/>
    <numFmt numFmtId="180" formatCode="0.0000_ "/>
  </numFmts>
  <fonts count="9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4" fillId="0" borderId="0"/>
    <xf numFmtId="0" fontId="6" fillId="0" borderId="0"/>
    <xf numFmtId="0" fontId="7" fillId="0" borderId="0"/>
  </cellStyleXfs>
  <cellXfs count="121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0" xfId="0" applyFont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9" fontId="1" fillId="0" borderId="0" xfId="0" applyNumberFormat="1" applyFont="1"/>
    <xf numFmtId="0" fontId="0" fillId="3" borderId="0" xfId="0" applyFill="1"/>
    <xf numFmtId="0" fontId="0" fillId="0" borderId="0" xfId="0"/>
    <xf numFmtId="2" fontId="3" fillId="0" borderId="0" xfId="0" applyNumberFormat="1" applyFont="1"/>
    <xf numFmtId="0" fontId="3" fillId="0" borderId="0" xfId="0" applyFont="1"/>
    <xf numFmtId="0" fontId="1" fillId="0" borderId="6" xfId="0" applyFont="1" applyBorder="1"/>
    <xf numFmtId="0" fontId="1" fillId="0" borderId="7" xfId="0" applyFont="1" applyBorder="1"/>
    <xf numFmtId="0" fontId="1" fillId="0" borderId="10" xfId="0" applyFont="1" applyBorder="1"/>
    <xf numFmtId="0" fontId="2" fillId="0" borderId="0" xfId="0" applyFont="1" applyAlignment="1">
      <alignment horizontal="center"/>
    </xf>
    <xf numFmtId="0" fontId="2" fillId="0" borderId="0" xfId="0" applyFont="1"/>
    <xf numFmtId="10" fontId="1" fillId="0" borderId="0" xfId="0" applyNumberFormat="1" applyFont="1"/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0" xfId="0" applyNumberFormat="1" applyFont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10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0" fontId="1" fillId="0" borderId="19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76" fontId="0" fillId="0" borderId="0" xfId="0" applyNumberFormat="1"/>
    <xf numFmtId="9" fontId="1" fillId="0" borderId="4" xfId="0" applyNumberFormat="1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/>
    </xf>
    <xf numFmtId="179" fontId="1" fillId="0" borderId="4" xfId="0" applyNumberFormat="1" applyFont="1" applyBorder="1" applyAlignment="1">
      <alignment horizontal="center"/>
    </xf>
    <xf numFmtId="179" fontId="1" fillId="0" borderId="5" xfId="0" applyNumberFormat="1" applyFont="1" applyBorder="1" applyAlignment="1">
      <alignment horizontal="center"/>
    </xf>
    <xf numFmtId="179" fontId="1" fillId="0" borderId="8" xfId="0" applyNumberFormat="1" applyFont="1" applyBorder="1"/>
    <xf numFmtId="179" fontId="1" fillId="0" borderId="0" xfId="0" applyNumberFormat="1" applyFont="1"/>
    <xf numFmtId="179" fontId="1" fillId="0" borderId="9" xfId="0" applyNumberFormat="1" applyFont="1" applyBorder="1"/>
    <xf numFmtId="179" fontId="1" fillId="0" borderId="11" xfId="0" applyNumberFormat="1" applyFont="1" applyBorder="1"/>
    <xf numFmtId="179" fontId="1" fillId="0" borderId="12" xfId="0" applyNumberFormat="1" applyFont="1" applyBorder="1"/>
    <xf numFmtId="179" fontId="1" fillId="0" borderId="13" xfId="0" applyNumberFormat="1" applyFont="1" applyBorder="1"/>
    <xf numFmtId="176" fontId="1" fillId="0" borderId="4" xfId="0" applyNumberFormat="1" applyFont="1" applyBorder="1"/>
    <xf numFmtId="176" fontId="1" fillId="0" borderId="0" xfId="0" applyNumberFormat="1" applyFont="1"/>
    <xf numFmtId="176" fontId="1" fillId="0" borderId="12" xfId="0" applyNumberFormat="1" applyFont="1" applyBorder="1"/>
    <xf numFmtId="10" fontId="1" fillId="0" borderId="3" xfId="1" applyNumberFormat="1" applyFont="1" applyBorder="1" applyAlignment="1">
      <alignment horizontal="center"/>
    </xf>
    <xf numFmtId="10" fontId="1" fillId="0" borderId="4" xfId="1" applyNumberFormat="1" applyFont="1" applyBorder="1" applyAlignment="1">
      <alignment horizontal="center"/>
    </xf>
    <xf numFmtId="10" fontId="1" fillId="0" borderId="5" xfId="1" applyNumberFormat="1" applyFont="1" applyBorder="1" applyAlignment="1">
      <alignment horizontal="center"/>
    </xf>
    <xf numFmtId="10" fontId="1" fillId="0" borderId="8" xfId="1" applyNumberFormat="1" applyFont="1" applyBorder="1"/>
    <xf numFmtId="10" fontId="1" fillId="0" borderId="0" xfId="1" applyNumberFormat="1" applyFont="1"/>
    <xf numFmtId="10" fontId="1" fillId="0" borderId="9" xfId="1" applyNumberFormat="1" applyFont="1" applyBorder="1"/>
    <xf numFmtId="10" fontId="1" fillId="0" borderId="11" xfId="1" applyNumberFormat="1" applyFont="1" applyBorder="1"/>
    <xf numFmtId="10" fontId="1" fillId="0" borderId="12" xfId="1" applyNumberFormat="1" applyFont="1" applyBorder="1"/>
    <xf numFmtId="10" fontId="1" fillId="0" borderId="13" xfId="1" applyNumberFormat="1" applyFont="1" applyBorder="1"/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0" fontId="1" fillId="0" borderId="11" xfId="0" applyNumberFormat="1" applyFont="1" applyBorder="1" applyAlignment="1">
      <alignment horizontal="center" vertical="center"/>
    </xf>
    <xf numFmtId="10" fontId="1" fillId="0" borderId="12" xfId="0" applyNumberFormat="1" applyFont="1" applyBorder="1" applyAlignment="1">
      <alignment horizontal="center" vertical="center"/>
    </xf>
    <xf numFmtId="9" fontId="1" fillId="0" borderId="12" xfId="0" applyNumberFormat="1" applyFont="1" applyBorder="1" applyAlignment="1">
      <alignment horizontal="center" vertical="center"/>
    </xf>
    <xf numFmtId="9" fontId="1" fillId="0" borderId="13" xfId="0" applyNumberFormat="1" applyFont="1" applyBorder="1" applyAlignment="1">
      <alignment horizontal="center" vertical="center"/>
    </xf>
    <xf numFmtId="10" fontId="1" fillId="0" borderId="15" xfId="0" applyNumberFormat="1" applyFont="1" applyBorder="1" applyAlignment="1">
      <alignment horizontal="center" vertical="center"/>
    </xf>
    <xf numFmtId="0" fontId="5" fillId="0" borderId="0" xfId="0" applyFont="1"/>
    <xf numFmtId="178" fontId="1" fillId="0" borderId="0" xfId="0" applyNumberFormat="1" applyFont="1"/>
    <xf numFmtId="177" fontId="3" fillId="0" borderId="0" xfId="0" applyNumberFormat="1" applyFont="1"/>
    <xf numFmtId="180" fontId="1" fillId="2" borderId="3" xfId="0" applyNumberFormat="1" applyFont="1" applyFill="1" applyBorder="1"/>
    <xf numFmtId="180" fontId="1" fillId="2" borderId="8" xfId="0" applyNumberFormat="1" applyFont="1" applyFill="1" applyBorder="1"/>
    <xf numFmtId="180" fontId="1" fillId="2" borderId="1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76" fontId="1" fillId="2" borderId="3" xfId="0" applyNumberFormat="1" applyFont="1" applyFill="1" applyBorder="1" applyAlignment="1">
      <alignment horizontal="center"/>
    </xf>
    <xf numFmtId="176" fontId="1" fillId="2" borderId="4" xfId="0" applyNumberFormat="1" applyFont="1" applyFill="1" applyBorder="1" applyAlignment="1">
      <alignment horizontal="center"/>
    </xf>
    <xf numFmtId="176" fontId="1" fillId="2" borderId="8" xfId="0" applyNumberFormat="1" applyFont="1" applyFill="1" applyBorder="1" applyAlignment="1">
      <alignment horizontal="center"/>
    </xf>
    <xf numFmtId="176" fontId="1" fillId="2" borderId="0" xfId="0" applyNumberFormat="1" applyFont="1" applyFill="1" applyAlignment="1">
      <alignment horizontal="center"/>
    </xf>
    <xf numFmtId="176" fontId="1" fillId="2" borderId="11" xfId="0" applyNumberFormat="1" applyFont="1" applyFill="1" applyBorder="1" applyAlignment="1">
      <alignment horizontal="center"/>
    </xf>
    <xf numFmtId="176" fontId="1" fillId="2" borderId="12" xfId="0" applyNumberFormat="1" applyFont="1" applyFill="1" applyBorder="1" applyAlignment="1">
      <alignment horizontal="center"/>
    </xf>
  </cellXfs>
  <cellStyles count="4">
    <cellStyle name="百分比" xfId="1" builtinId="5"/>
    <cellStyle name="常规" xfId="0" builtinId="0"/>
    <cellStyle name="超链接" xfId="2" builtinId="8" hidden="1"/>
    <cellStyle name="已访问的超链接" xfId="3" builtinId="9" hidden="1"/>
  </cellStyles>
  <dxfs count="9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[vcgit.hhi.fraunhofer.de][jvet][VVCSoftware_BMS.git][599ab8f][VTM]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28286.987799999999</c:v>
                </c:pt>
                <c:pt idx="1">
                  <c:v>7651.1607999999997</c:v>
                </c:pt>
                <c:pt idx="2">
                  <c:v>3803.8629000000001</c:v>
                </c:pt>
                <c:pt idx="3">
                  <c:v>2087.2473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40.324800000000003</c:v>
                </c:pt>
                <c:pt idx="1">
                  <c:v>39.573700000000002</c:v>
                </c:pt>
                <c:pt idx="2">
                  <c:v>38.631100000000004</c:v>
                </c:pt>
                <c:pt idx="3">
                  <c:v>37.2087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61-4CE1-AFBE-81EE35CA7D4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[vcgit.hhi.fraunhofer.de][jvet][VVCSoftware_BMS.git][599ab8f5c59c97f0ef1735e49c9449ec9e0047be][VTM_build]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28286.991020408099</c:v>
                </c:pt>
                <c:pt idx="1">
                  <c:v>7651.1640816326499</c:v>
                </c:pt>
                <c:pt idx="2">
                  <c:v>3803.8661224489701</c:v>
                </c:pt>
                <c:pt idx="3">
                  <c:v>2087.2506122448899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40.324754421768702</c:v>
                </c:pt>
                <c:pt idx="1">
                  <c:v>39.573667687074803</c:v>
                </c:pt>
                <c:pt idx="2">
                  <c:v>38.631076530612198</c:v>
                </c:pt>
                <c:pt idx="3">
                  <c:v>37.208667687074801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61-4CE1-AFBE-81EE35CA7D4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61-4CE1-AFBE-81EE35CA7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72432"/>
        <c:axId val="203272992"/>
      </c:scatterChart>
      <c:valAx>
        <c:axId val="20327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272992"/>
        <c:crosses val="autoZero"/>
        <c:crossBetween val="midCat"/>
      </c:valAx>
      <c:valAx>
        <c:axId val="203272992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327243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[vcgit.hhi.fraunhofer.de][jvet][VVCSoftware_BMS.git][599ab8f][VTM]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28286.987799999999</c:v>
                </c:pt>
                <c:pt idx="1">
                  <c:v>7651.1607999999997</c:v>
                </c:pt>
                <c:pt idx="2">
                  <c:v>3803.8629000000001</c:v>
                </c:pt>
                <c:pt idx="3">
                  <c:v>2087.2473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49.102800000000002</c:v>
                </c:pt>
                <c:pt idx="1">
                  <c:v>48.326999999999998</c:v>
                </c:pt>
                <c:pt idx="2">
                  <c:v>47.5105</c:v>
                </c:pt>
                <c:pt idx="3">
                  <c:v>46.628599999999999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25-4109-AE7E-108A24C6C711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[vcgit.hhi.fraunhofer.de][jvet][VVCSoftware_BMS.git][599ab8f5c59c97f0ef1735e49c9449ec9e0047be][VTM_build]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28286.991020408099</c:v>
                </c:pt>
                <c:pt idx="1">
                  <c:v>7651.1640816326499</c:v>
                </c:pt>
                <c:pt idx="2">
                  <c:v>3803.8661224489701</c:v>
                </c:pt>
                <c:pt idx="3">
                  <c:v>2087.2506122448899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49.102830612244901</c:v>
                </c:pt>
                <c:pt idx="1">
                  <c:v>48.326991496598602</c:v>
                </c:pt>
                <c:pt idx="2">
                  <c:v>47.510539115646203</c:v>
                </c:pt>
                <c:pt idx="3">
                  <c:v>46.628576190476103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25-4109-AE7E-108A24C6C711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25-4109-AE7E-108A24C6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41488"/>
        <c:axId val="206051792"/>
      </c:scatterChart>
      <c:valAx>
        <c:axId val="20594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6051792"/>
        <c:crosses val="autoZero"/>
        <c:crossBetween val="midCat"/>
      </c:valAx>
      <c:valAx>
        <c:axId val="206051792"/>
        <c:scaling>
          <c:orientation val="minMax"/>
          <c:max val="49.5"/>
          <c:min val="4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5941488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[vcgit.hhi.fraunhofer.de][jvet][VVCSoftware_BMS.git][599ab8f][VTM]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28286.987799999999</c:v>
                </c:pt>
                <c:pt idx="1">
                  <c:v>7651.1607999999997</c:v>
                </c:pt>
                <c:pt idx="2">
                  <c:v>3803.8629000000001</c:v>
                </c:pt>
                <c:pt idx="3">
                  <c:v>2087.2473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47.4193</c:v>
                </c:pt>
                <c:pt idx="1">
                  <c:v>46.198300000000003</c:v>
                </c:pt>
                <c:pt idx="2">
                  <c:v>44.991700000000002</c:v>
                </c:pt>
                <c:pt idx="3">
                  <c:v>43.691099999999999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E-4085-9168-E2F53003E978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[vcgit.hhi.fraunhofer.de][jvet][VVCSoftware_BMS.git][599ab8f5c59c97f0ef1735e49c9449ec9e0047be][VTM_build]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28286.991020408099</c:v>
                </c:pt>
                <c:pt idx="1">
                  <c:v>7651.1640816326499</c:v>
                </c:pt>
                <c:pt idx="2">
                  <c:v>3803.8661224489701</c:v>
                </c:pt>
                <c:pt idx="3">
                  <c:v>2087.2506122448899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47.419237755102003</c:v>
                </c:pt>
                <c:pt idx="1">
                  <c:v>46.198277551020396</c:v>
                </c:pt>
                <c:pt idx="2">
                  <c:v>44.991722108843497</c:v>
                </c:pt>
                <c:pt idx="3">
                  <c:v>43.691080612244797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E-4085-9168-E2F53003E978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E-4085-9168-E2F53003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55712"/>
        <c:axId val="206056272"/>
      </c:scatterChart>
      <c:valAx>
        <c:axId val="20605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6056272"/>
        <c:crosses val="autoZero"/>
        <c:crossBetween val="midCat"/>
      </c:valAx>
      <c:valAx>
        <c:axId val="206056272"/>
        <c:scaling>
          <c:orientation val="minMax"/>
          <c:max val="47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605571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[vcgit.hhi.fraunhofer.de][jvet][VVCSoftware_BMS.git][599ab8f][VTM]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28286.987799999999</c:v>
                </c:pt>
                <c:pt idx="1">
                  <c:v>7651.1607999999997</c:v>
                </c:pt>
                <c:pt idx="2">
                  <c:v>3803.8629000000001</c:v>
                </c:pt>
                <c:pt idx="3">
                  <c:v>2087.2473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40.324800000000003</c:v>
                </c:pt>
                <c:pt idx="1">
                  <c:v>39.573700000000002</c:v>
                </c:pt>
                <c:pt idx="2">
                  <c:v>38.631100000000004</c:v>
                </c:pt>
                <c:pt idx="3">
                  <c:v>37.2087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1-4E27-8EDF-39062D9A855F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[vcgit.hhi.fraunhofer.de][jvet][VVCSoftware_BMS.git][599ab8f5c59c97f0ef1735e49c9449ec9e0047be][VTM_build]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28286.991020408099</c:v>
                </c:pt>
                <c:pt idx="1">
                  <c:v>7651.1640816326499</c:v>
                </c:pt>
                <c:pt idx="2">
                  <c:v>3803.8661224489701</c:v>
                </c:pt>
                <c:pt idx="3">
                  <c:v>2087.2506122448899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40.324754421768702</c:v>
                </c:pt>
                <c:pt idx="1">
                  <c:v>39.573667687074803</c:v>
                </c:pt>
                <c:pt idx="2">
                  <c:v>38.631076530612198</c:v>
                </c:pt>
                <c:pt idx="3">
                  <c:v>37.208667687074801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1-4E27-8EDF-39062D9A855F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>
              <a:prstDash val="solid"/>
            </a:ln>
          </c:spPr>
          <c:marker>
            <c:symbol val="none"/>
          </c:marke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E1-4E27-8EDF-39062D9A8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01120"/>
        <c:axId val="206301680"/>
      </c:scatterChart>
      <c:valAx>
        <c:axId val="206301120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6301680"/>
        <c:crosses val="autoZero"/>
        <c:crossBetween val="midCat"/>
      </c:valAx>
      <c:valAx>
        <c:axId val="206301680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630112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R48"/>
  <sheetViews>
    <sheetView topLeftCell="A4" workbookViewId="0">
      <selection activeCell="E49" sqref="E49"/>
    </sheetView>
  </sheetViews>
  <sheetFormatPr defaultColWidth="10.875" defaultRowHeight="12" x14ac:dyDescent="0.2"/>
  <cols>
    <col min="1" max="1" width="4.125" style="15" customWidth="1"/>
    <col min="2" max="2" width="13.625" style="66" customWidth="1"/>
    <col min="3" max="7" width="8.875" style="66" customWidth="1"/>
    <col min="8" max="8" width="10.875" style="15" customWidth="1"/>
    <col min="9" max="9" width="20.625" style="15" customWidth="1"/>
    <col min="10" max="10" width="10.875" style="15" customWidth="1"/>
    <col min="11" max="16384" width="10.875" style="15"/>
  </cols>
  <sheetData>
    <row r="1" spans="2:18" ht="12.75" customHeight="1" thickBot="1" x14ac:dyDescent="0.25"/>
    <row r="2" spans="2:18" ht="12.75" customHeight="1" thickBot="1" x14ac:dyDescent="0.25">
      <c r="C2" s="109" t="s">
        <v>0</v>
      </c>
      <c r="D2" s="110"/>
      <c r="E2" s="110"/>
      <c r="F2" s="110"/>
      <c r="G2" s="111"/>
      <c r="I2" s="28"/>
      <c r="J2" s="28"/>
    </row>
    <row r="3" spans="2:18" ht="12.75" customHeight="1" x14ac:dyDescent="0.2">
      <c r="C3" s="106" t="str">
        <f>CONCATENATE("Over ", $J$3)</f>
        <v>Over [vcgit.hhi.fraunhofer.de][jvet][VVCSoftware_BMS.git][599ab8f][VTM]</v>
      </c>
      <c r="D3" s="107"/>
      <c r="E3" s="107"/>
      <c r="F3" s="107"/>
      <c r="G3" s="108"/>
      <c r="I3" s="28" t="s">
        <v>1</v>
      </c>
      <c r="J3" s="28" t="s">
        <v>2</v>
      </c>
    </row>
    <row r="4" spans="2:18" ht="12.75" customHeight="1" thickBot="1" x14ac:dyDescent="0.25">
      <c r="C4" s="51" t="s">
        <v>3</v>
      </c>
      <c r="D4" s="52" t="s">
        <v>4</v>
      </c>
      <c r="E4" s="53" t="s">
        <v>5</v>
      </c>
      <c r="F4" s="54" t="s">
        <v>6</v>
      </c>
      <c r="G4" s="55" t="s">
        <v>7</v>
      </c>
      <c r="I4" s="28" t="s">
        <v>8</v>
      </c>
      <c r="J4" s="28" t="s">
        <v>9</v>
      </c>
    </row>
    <row r="5" spans="2:18" ht="12.75" customHeight="1" x14ac:dyDescent="0.2">
      <c r="B5" s="67" t="s">
        <v>10</v>
      </c>
      <c r="C5" s="56">
        <f>'AI-10'!V107</f>
        <v>-5.3514874320814698E-7</v>
      </c>
      <c r="D5" s="57">
        <f>'AI-10'!W107</f>
        <v>-5.3203179258461597E-7</v>
      </c>
      <c r="E5" s="58">
        <f>'AI-10'!X107</f>
        <v>-5.2620691504134953E-7</v>
      </c>
      <c r="F5" s="59">
        <f>'AI-10'!S107</f>
        <v>0.98765038897214563</v>
      </c>
      <c r="G5" s="60">
        <f>'AI-10'!T107</f>
        <v>0.97000777656618631</v>
      </c>
      <c r="H5" s="29"/>
      <c r="J5" s="28"/>
    </row>
    <row r="6" spans="2:18" ht="12.75" customHeight="1" x14ac:dyDescent="0.2">
      <c r="B6" s="68" t="s">
        <v>11</v>
      </c>
      <c r="C6" s="61">
        <f>'AI-10'!V108</f>
        <v>-2.5970828643195887E-7</v>
      </c>
      <c r="D6" s="62">
        <f>'AI-10'!W108</f>
        <v>-2.8054677399709976E-7</v>
      </c>
      <c r="E6" s="63">
        <f>'AI-10'!X108</f>
        <v>-2.7875094832374714E-7</v>
      </c>
      <c r="F6" s="64">
        <f>'AI-10'!S108</f>
        <v>0.98930928743266955</v>
      </c>
      <c r="G6" s="65">
        <f>'AI-10'!T108</f>
        <v>0.99491412973131843</v>
      </c>
      <c r="H6" s="29"/>
      <c r="J6" s="28"/>
    </row>
    <row r="7" spans="2:18" ht="12.75" customHeight="1" x14ac:dyDescent="0.2">
      <c r="B7" s="68" t="s">
        <v>12</v>
      </c>
      <c r="C7" s="61">
        <f>'AI-10'!V109</f>
        <v>-5.0814030854162691E-7</v>
      </c>
      <c r="D7" s="62">
        <f>'AI-10'!W109</f>
        <v>-4.6046657873333177E-7</v>
      </c>
      <c r="E7" s="63">
        <f>'AI-10'!X109</f>
        <v>-4.772979539824362E-7</v>
      </c>
      <c r="F7" s="64">
        <f>'AI-10'!S109</f>
        <v>0.98814890376204234</v>
      </c>
      <c r="G7" s="65">
        <f>'AI-10'!T109</f>
        <v>0.95933328421406194</v>
      </c>
      <c r="H7" s="29"/>
    </row>
    <row r="8" spans="2:18" ht="12.75" customHeight="1" x14ac:dyDescent="0.2">
      <c r="B8" s="68" t="s">
        <v>13</v>
      </c>
      <c r="C8" s="61">
        <f>'AI-10'!V110</f>
        <v>-1.604691327011798E-6</v>
      </c>
      <c r="D8" s="62">
        <f>'AI-10'!W110</f>
        <v>-1.4073850906903829E-6</v>
      </c>
      <c r="E8" s="63">
        <f>'AI-10'!X110</f>
        <v>-1.4371306872873468E-6</v>
      </c>
      <c r="F8" s="64">
        <f>'AI-10'!S110</f>
        <v>0.98720960015729187</v>
      </c>
      <c r="G8" s="65">
        <f>'AI-10'!T110</f>
        <v>0.97376397971525308</v>
      </c>
      <c r="H8" s="29"/>
    </row>
    <row r="9" spans="2:18" ht="12.75" customHeight="1" thickBot="1" x14ac:dyDescent="0.25">
      <c r="B9" s="68" t="s">
        <v>14</v>
      </c>
      <c r="C9" s="61">
        <f>'AI-10'!V112</f>
        <v>-1.560601724737154E-6</v>
      </c>
      <c r="D9" s="62">
        <f>'AI-10'!W112</f>
        <v>-1.392628745766622E-6</v>
      </c>
      <c r="E9" s="63">
        <f>'AI-10'!X112</f>
        <v>-1.4061347704356446E-6</v>
      </c>
      <c r="F9" s="64">
        <f>'AI-10'!S112</f>
        <v>0.98593355671948457</v>
      </c>
      <c r="G9" s="65">
        <f>'AI-10'!T112</f>
        <v>0.97646148208468941</v>
      </c>
      <c r="H9" s="29"/>
    </row>
    <row r="10" spans="2:18" ht="12.75" customHeight="1" thickBot="1" x14ac:dyDescent="0.25">
      <c r="B10" s="92" t="s">
        <v>15</v>
      </c>
      <c r="C10" s="56">
        <f>'AI-10'!V114</f>
        <v>-8.9032461743817259E-7</v>
      </c>
      <c r="D10" s="57">
        <f>'AI-10'!W114</f>
        <v>-8.0819417741517796E-7</v>
      </c>
      <c r="E10" s="58">
        <f>'AI-10'!X114</f>
        <v>-8.2046057891465514E-7</v>
      </c>
      <c r="F10" s="59">
        <f>'AI-10'!S114</f>
        <v>0.9876807193430357</v>
      </c>
      <c r="G10" s="60">
        <f>'AI-10'!T114</f>
        <v>0.97303473389709005</v>
      </c>
      <c r="H10" s="29"/>
      <c r="I10" s="28" t="s">
        <v>16</v>
      </c>
    </row>
    <row r="11" spans="2:18" ht="12.75" customHeight="1" x14ac:dyDescent="0.2">
      <c r="B11" s="94" t="s">
        <v>17</v>
      </c>
      <c r="C11" s="56" t="e">
        <f>'AI-10'!V111</f>
        <v>#VALUE!</v>
      </c>
      <c r="D11" s="57">
        <f>'AI-10'!W111</f>
        <v>4.978004864179042E-3</v>
      </c>
      <c r="E11" s="58">
        <f>'AI-10'!X111</f>
        <v>5.8618532398892476E-3</v>
      </c>
      <c r="F11" s="70">
        <f>'AI-10'!S111</f>
        <v>0.97098609560511739</v>
      </c>
      <c r="G11" s="60">
        <f>'AI-10'!T111</f>
        <v>0.9462470176138752</v>
      </c>
      <c r="H11" s="29"/>
      <c r="I11" s="28"/>
    </row>
    <row r="12" spans="2:18" ht="12.75" customHeight="1" thickBot="1" x14ac:dyDescent="0.25">
      <c r="B12" s="51" t="s">
        <v>18</v>
      </c>
      <c r="C12" s="95">
        <f>'AI-10'!V113</f>
        <v>-1.1266822827482592E-6</v>
      </c>
      <c r="D12" s="96">
        <f>'AI-10'!W113</f>
        <v>-1.0259098202347605E-6</v>
      </c>
      <c r="E12" s="99">
        <f>'AI-10'!X113</f>
        <v>-1.0231426330331583E-6</v>
      </c>
      <c r="F12" s="97">
        <f>'AI-10'!S113</f>
        <v>0.98343037587892945</v>
      </c>
      <c r="G12" s="98">
        <f>'AI-10'!T113</f>
        <v>0.95032924339156399</v>
      </c>
      <c r="H12" s="29"/>
    </row>
    <row r="13" spans="2:18" ht="12.75" customHeight="1" thickBot="1" x14ac:dyDescent="0.25">
      <c r="I13" s="100" t="s">
        <v>19</v>
      </c>
    </row>
    <row r="14" spans="2:18" ht="12.75" customHeight="1" thickBot="1" x14ac:dyDescent="0.25">
      <c r="C14" s="109" t="s">
        <v>20</v>
      </c>
      <c r="D14" s="110"/>
      <c r="E14" s="110"/>
      <c r="F14" s="110"/>
      <c r="G14" s="111"/>
      <c r="J14" s="28"/>
    </row>
    <row r="15" spans="2:18" ht="12.75" customHeight="1" x14ac:dyDescent="0.2">
      <c r="C15" s="106" t="str">
        <f>CONCATENATE("Over ", $J$3)</f>
        <v>Over [vcgit.hhi.fraunhofer.de][jvet][VVCSoftware_BMS.git][599ab8f][VTM]</v>
      </c>
      <c r="D15" s="107"/>
      <c r="E15" s="107"/>
      <c r="F15" s="107"/>
      <c r="G15" s="108"/>
      <c r="I15" s="28" t="s">
        <v>21</v>
      </c>
      <c r="J15" s="15" t="s">
        <v>22</v>
      </c>
    </row>
    <row r="16" spans="2:18" ht="12.75" customHeight="1" thickBot="1" x14ac:dyDescent="0.25">
      <c r="C16" s="51" t="s">
        <v>3</v>
      </c>
      <c r="D16" s="52" t="s">
        <v>4</v>
      </c>
      <c r="E16" s="53" t="s">
        <v>5</v>
      </c>
      <c r="F16" s="54" t="s">
        <v>6</v>
      </c>
      <c r="G16" s="55" t="s">
        <v>7</v>
      </c>
      <c r="I16" s="28"/>
      <c r="J16" s="29"/>
      <c r="K16" s="29"/>
      <c r="L16" s="29"/>
      <c r="M16" s="29"/>
      <c r="N16" s="29"/>
      <c r="O16" s="29"/>
      <c r="P16" s="29"/>
      <c r="Q16" s="29"/>
      <c r="R16" s="29"/>
    </row>
    <row r="17" spans="2:18" ht="12.75" customHeight="1" x14ac:dyDescent="0.2">
      <c r="B17" s="67" t="str">
        <f>B5</f>
        <v>Class A1</v>
      </c>
      <c r="C17" s="56">
        <f>'RA-10'!V107</f>
        <v>2.1386197849674695E-6</v>
      </c>
      <c r="D17" s="57">
        <f>'RA-10'!W107</f>
        <v>-7.7498678821378651E-6</v>
      </c>
      <c r="E17" s="58">
        <f>'RA-10'!X107</f>
        <v>9.791601458234803E-6</v>
      </c>
      <c r="F17" s="59">
        <f>'RA-10'!S107</f>
        <v>1.1124756319851381</v>
      </c>
      <c r="G17" s="60">
        <f>'RA-10'!T107</f>
        <v>1.298210843226995</v>
      </c>
      <c r="H17" s="29"/>
      <c r="I17" s="28" t="s">
        <v>23</v>
      </c>
      <c r="J17" s="29" t="s">
        <v>24</v>
      </c>
      <c r="K17" s="29"/>
      <c r="L17" s="29"/>
      <c r="M17" s="29"/>
      <c r="N17" s="29"/>
      <c r="O17" s="29"/>
      <c r="P17" s="29"/>
      <c r="Q17" s="29"/>
      <c r="R17" s="29"/>
    </row>
    <row r="18" spans="2:18" ht="12.75" customHeight="1" x14ac:dyDescent="0.2">
      <c r="B18" s="68" t="str">
        <f>B6</f>
        <v>Class A2</v>
      </c>
      <c r="C18" s="61">
        <f>'RA-10'!V108</f>
        <v>-7.1524088181007528E-6</v>
      </c>
      <c r="D18" s="62">
        <f>'RA-10'!W108</f>
        <v>1.1091016490993866E-5</v>
      </c>
      <c r="E18" s="63">
        <f>'RA-10'!X108</f>
        <v>7.6730331829052058E-6</v>
      </c>
      <c r="F18" s="64">
        <f>'RA-10'!S108</f>
        <v>1.132316199977059</v>
      </c>
      <c r="G18" s="65">
        <f>'RA-10'!T108</f>
        <v>1.3426365600356795</v>
      </c>
      <c r="H18" s="29"/>
      <c r="I18" s="28" t="s">
        <v>25</v>
      </c>
      <c r="J18" s="29" t="s">
        <v>24</v>
      </c>
      <c r="K18" s="29"/>
      <c r="L18" s="29"/>
      <c r="M18" s="29"/>
      <c r="N18" s="29"/>
      <c r="O18" s="29"/>
      <c r="P18" s="29"/>
      <c r="Q18" s="29"/>
      <c r="R18" s="29"/>
    </row>
    <row r="19" spans="2:18" ht="12.75" customHeight="1" x14ac:dyDescent="0.2">
      <c r="B19" s="68" t="str">
        <f>B7</f>
        <v>Class B</v>
      </c>
      <c r="C19" s="61">
        <f>'RA-10'!V109</f>
        <v>1.7425798753967214E-6</v>
      </c>
      <c r="D19" s="62">
        <f>'RA-10'!W109</f>
        <v>-1.5942752761066713E-6</v>
      </c>
      <c r="E19" s="63">
        <f>'RA-10'!X109</f>
        <v>-1.1209822576541128E-5</v>
      </c>
      <c r="F19" s="64">
        <f>'RA-10'!S109</f>
        <v>1.1387759641380981</v>
      </c>
      <c r="G19" s="65">
        <f>'RA-10'!T109</f>
        <v>1.3290574311608301</v>
      </c>
      <c r="H19" s="29"/>
    </row>
    <row r="20" spans="2:18" ht="12.75" customHeight="1" x14ac:dyDescent="0.2">
      <c r="B20" s="68" t="str">
        <f>B8</f>
        <v>Class C</v>
      </c>
      <c r="C20" s="61">
        <f>'RA-10'!V110</f>
        <v>4.066208347364153E-6</v>
      </c>
      <c r="D20" s="62">
        <f>'RA-10'!W110</f>
        <v>5.8649527997778339E-6</v>
      </c>
      <c r="E20" s="63">
        <f>'RA-10'!X110</f>
        <v>2.3325852473166098E-6</v>
      </c>
      <c r="F20" s="64">
        <f>'RA-10'!S110</f>
        <v>1.131926045051834</v>
      </c>
      <c r="G20" s="65">
        <f>'RA-10'!T110</f>
        <v>1.2859569203154946</v>
      </c>
      <c r="H20" s="29"/>
      <c r="I20" s="28" t="s">
        <v>26</v>
      </c>
      <c r="J20" s="15" t="s">
        <v>27</v>
      </c>
    </row>
    <row r="21" spans="2:18" ht="12.75" customHeight="1" thickBot="1" x14ac:dyDescent="0.25">
      <c r="B21" s="68" t="str">
        <f>B9</f>
        <v>Class E</v>
      </c>
      <c r="C21" s="61"/>
      <c r="D21" s="62"/>
      <c r="E21" s="63"/>
      <c r="F21" s="64"/>
      <c r="G21" s="65"/>
      <c r="H21" s="29"/>
    </row>
    <row r="22" spans="2:18" ht="12.75" customHeight="1" thickBot="1" x14ac:dyDescent="0.25">
      <c r="B22" s="92" t="s">
        <v>28</v>
      </c>
      <c r="C22" s="56" t="e">
        <f>'RA-10'!V114</f>
        <v>#VALUE!</v>
      </c>
      <c r="D22" s="57" t="e">
        <f>'RA-10'!W114</f>
        <v>#VALUE!</v>
      </c>
      <c r="E22" s="58" t="e">
        <f>'RA-10'!X114</f>
        <v>#VALUE!</v>
      </c>
      <c r="F22" s="59">
        <f>'RA-10'!S114</f>
        <v>1.1303576824149382</v>
      </c>
      <c r="G22" s="60">
        <f>'RA-10'!T114</f>
        <v>1.3139203374230781</v>
      </c>
      <c r="H22" s="29"/>
      <c r="I22" s="28" t="s">
        <v>29</v>
      </c>
      <c r="J22" s="101" t="s">
        <v>30</v>
      </c>
      <c r="K22" s="101"/>
      <c r="L22" s="101"/>
      <c r="M22" s="101"/>
      <c r="N22" s="101"/>
      <c r="O22" s="101"/>
      <c r="P22" s="101"/>
      <c r="Q22" s="101"/>
      <c r="R22" s="101"/>
    </row>
    <row r="23" spans="2:18" ht="12.75" customHeight="1" x14ac:dyDescent="0.2">
      <c r="B23" s="67" t="str">
        <f>B11</f>
        <v>Class D</v>
      </c>
      <c r="C23" s="56">
        <f>'RA-10'!V111</f>
        <v>1.7852685124916834E-2</v>
      </c>
      <c r="D23" s="57">
        <f>'RA-10'!W111</f>
        <v>3.0870956143550066E-2</v>
      </c>
      <c r="E23" s="58">
        <f>'RA-10'!X111</f>
        <v>2.9259497835920523E-2</v>
      </c>
      <c r="F23" s="70">
        <f>'RA-10'!S111</f>
        <v>0.96925700324842068</v>
      </c>
      <c r="G23" s="60">
        <f>'RA-10'!T111</f>
        <v>0.95990912437880771</v>
      </c>
      <c r="H23" s="29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2:18" ht="12.75" customHeight="1" thickBot="1" x14ac:dyDescent="0.25">
      <c r="B24" s="93" t="str">
        <f>B12</f>
        <v>Class F (optional)</v>
      </c>
      <c r="C24" s="95">
        <f>'RA-10'!V113</f>
        <v>-1.5757079757094949E-6</v>
      </c>
      <c r="D24" s="96">
        <f>'RA-10'!W113</f>
        <v>-1.4861164122637049E-6</v>
      </c>
      <c r="E24" s="99">
        <f>'RA-10'!X113</f>
        <v>-1.4632754091470357E-6</v>
      </c>
      <c r="F24" s="97">
        <f>'RA-10'!S113</f>
        <v>0.98310060473769523</v>
      </c>
      <c r="G24" s="98">
        <f>'RA-10'!T113</f>
        <v>0.92505369274694027</v>
      </c>
      <c r="H24" s="29"/>
      <c r="I24" s="100" t="s">
        <v>31</v>
      </c>
    </row>
    <row r="25" spans="2:18" ht="12.75" customHeight="1" thickBot="1" x14ac:dyDescent="0.25">
      <c r="C25" s="15"/>
      <c r="D25" s="15"/>
      <c r="E25" s="15"/>
      <c r="F25" s="15"/>
      <c r="G25" s="15"/>
    </row>
    <row r="26" spans="2:18" ht="12.75" customHeight="1" thickBot="1" x14ac:dyDescent="0.25">
      <c r="C26" s="109" t="s">
        <v>32</v>
      </c>
      <c r="D26" s="110"/>
      <c r="E26" s="110"/>
      <c r="F26" s="110"/>
      <c r="G26" s="111"/>
      <c r="I26" s="28" t="s">
        <v>33</v>
      </c>
      <c r="J26" s="15" t="s">
        <v>34</v>
      </c>
    </row>
    <row r="27" spans="2:18" ht="12.75" customHeight="1" x14ac:dyDescent="0.2">
      <c r="C27" s="106" t="str">
        <f>CONCATENATE("Over ", $J$3)</f>
        <v>Over [vcgit.hhi.fraunhofer.de][jvet][VVCSoftware_BMS.git][599ab8f][VTM]</v>
      </c>
      <c r="D27" s="107"/>
      <c r="E27" s="107"/>
      <c r="F27" s="107"/>
      <c r="G27" s="108"/>
    </row>
    <row r="28" spans="2:18" ht="12.75" customHeight="1" thickBot="1" x14ac:dyDescent="0.25">
      <c r="C28" s="51" t="s">
        <v>3</v>
      </c>
      <c r="D28" s="52" t="s">
        <v>4</v>
      </c>
      <c r="E28" s="53" t="s">
        <v>5</v>
      </c>
      <c r="F28" s="54" t="s">
        <v>6</v>
      </c>
      <c r="G28" s="55" t="s">
        <v>7</v>
      </c>
      <c r="I28" s="28" t="s">
        <v>35</v>
      </c>
      <c r="J28" s="15" t="s">
        <v>36</v>
      </c>
    </row>
    <row r="29" spans="2:18" ht="12.75" customHeight="1" x14ac:dyDescent="0.2">
      <c r="B29" s="67" t="str">
        <f>B5</f>
        <v>Class A1</v>
      </c>
      <c r="C29" s="56"/>
      <c r="D29" s="57"/>
      <c r="E29" s="58"/>
      <c r="F29" s="59"/>
      <c r="G29" s="60"/>
      <c r="H29" s="29"/>
      <c r="I29" s="28" t="s">
        <v>37</v>
      </c>
      <c r="J29" s="15" t="s">
        <v>34</v>
      </c>
    </row>
    <row r="30" spans="2:18" ht="12.75" customHeight="1" x14ac:dyDescent="0.2">
      <c r="B30" s="68" t="str">
        <f>B6</f>
        <v>Class A2</v>
      </c>
      <c r="C30" s="61"/>
      <c r="D30" s="62"/>
      <c r="E30" s="63"/>
      <c r="F30" s="64"/>
      <c r="G30" s="65"/>
      <c r="H30" s="29"/>
    </row>
    <row r="31" spans="2:18" ht="12.75" customHeight="1" x14ac:dyDescent="0.2">
      <c r="B31" s="68" t="str">
        <f>B7</f>
        <v>Class B</v>
      </c>
      <c r="C31" s="61">
        <f>'LDB-10'!V109</f>
        <v>-5.3535220962963596E-7</v>
      </c>
      <c r="D31" s="62">
        <f>'LDB-10'!W109</f>
        <v>-4.6735645191642307E-7</v>
      </c>
      <c r="E31" s="63">
        <f>'LDB-10'!X109</f>
        <v>-4.7238043259234531E-7</v>
      </c>
      <c r="F31" s="64">
        <f>'LDB-10'!S109</f>
        <v>0.98923032485425011</v>
      </c>
      <c r="G31" s="65">
        <f>'LDB-10'!T109</f>
        <v>0.97218319399112041</v>
      </c>
      <c r="H31" s="29"/>
      <c r="I31" s="28" t="s">
        <v>38</v>
      </c>
      <c r="J31" s="15" t="s">
        <v>39</v>
      </c>
    </row>
    <row r="32" spans="2:18" ht="12.75" customHeight="1" x14ac:dyDescent="0.2">
      <c r="B32" s="68" t="str">
        <f>B8</f>
        <v>Class C</v>
      </c>
      <c r="C32" s="61">
        <f>'LDB-10'!V110</f>
        <v>-1.426948528560068E-6</v>
      </c>
      <c r="D32" s="62">
        <f>'LDB-10'!W110</f>
        <v>-1.2836723007336737E-6</v>
      </c>
      <c r="E32" s="63">
        <f>'LDB-10'!X110</f>
        <v>-1.2761438073494169E-6</v>
      </c>
      <c r="F32" s="64">
        <f>'LDB-10'!S110</f>
        <v>0.98325965454292485</v>
      </c>
      <c r="G32" s="65">
        <f>'LDB-10'!T110</f>
        <v>0.93120088822576308</v>
      </c>
      <c r="H32" s="29"/>
    </row>
    <row r="33" spans="2:10" ht="12.75" customHeight="1" thickBot="1" x14ac:dyDescent="0.25">
      <c r="B33" s="68" t="str">
        <f>B9</f>
        <v>Class E</v>
      </c>
      <c r="C33" s="61">
        <f>'LDB-10'!V112</f>
        <v>-1.2940333791433703E-2</v>
      </c>
      <c r="D33" s="62">
        <f>'LDB-10'!W112</f>
        <v>-5.028619786140668E-2</v>
      </c>
      <c r="E33" s="63">
        <f>'LDB-10'!X112</f>
        <v>-2.7355564299015089E-2</v>
      </c>
      <c r="F33" s="64">
        <f>'LDB-10'!S112</f>
        <v>1.0159126156720955</v>
      </c>
      <c r="G33" s="65">
        <f>'LDB-10'!T112</f>
        <v>1.0083982806038596</v>
      </c>
      <c r="H33" s="29"/>
      <c r="I33" s="28" t="s">
        <v>40</v>
      </c>
      <c r="J33" s="29" t="s">
        <v>41</v>
      </c>
    </row>
    <row r="34" spans="2:10" ht="12.75" customHeight="1" thickBot="1" x14ac:dyDescent="0.25">
      <c r="B34" s="92" t="s">
        <v>28</v>
      </c>
      <c r="C34" s="56">
        <f>'LDB-10'!V114</f>
        <v>-3.235782160788625E-3</v>
      </c>
      <c r="D34" s="57">
        <f>'LDB-10'!W114</f>
        <v>-1.2572172087973546E-2</v>
      </c>
      <c r="E34" s="58">
        <f>'LDB-10'!X114</f>
        <v>-6.8395132812031356E-3</v>
      </c>
      <c r="F34" s="59">
        <f>'LDB-10'!S114</f>
        <v>0.99382691374287191</v>
      </c>
      <c r="G34" s="60">
        <f>'LDB-10'!T114</f>
        <v>0.96712853396356246</v>
      </c>
      <c r="H34" s="29"/>
    </row>
    <row r="35" spans="2:10" ht="12.75" customHeight="1" x14ac:dyDescent="0.2">
      <c r="B35" s="94" t="str">
        <f>B11</f>
        <v>Class D</v>
      </c>
      <c r="C35" s="56">
        <f>'LDB-10'!V111</f>
        <v>-4.1389724256637728E-3</v>
      </c>
      <c r="D35" s="57">
        <f>'LDB-10'!W111</f>
        <v>-2.9590470848913447E-2</v>
      </c>
      <c r="E35" s="58">
        <f>'LDB-10'!X111</f>
        <v>-3.159592786783183E-2</v>
      </c>
      <c r="F35" s="70">
        <f>'LDB-10'!S111</f>
        <v>0.96619409988130367</v>
      </c>
      <c r="G35" s="60">
        <f>'LDB-10'!T111</f>
        <v>0.95865745231533939</v>
      </c>
      <c r="H35" s="29"/>
    </row>
    <row r="36" spans="2:10" ht="12.75" customHeight="1" thickBot="1" x14ac:dyDescent="0.25">
      <c r="B36" s="51" t="str">
        <f>B12</f>
        <v>Class F (optional)</v>
      </c>
      <c r="C36" s="95">
        <f>'LDB-10'!V113</f>
        <v>-3.5613001060086358E-6</v>
      </c>
      <c r="D36" s="96">
        <f>'LDB-10'!W113</f>
        <v>-3.1384928180777649E-6</v>
      </c>
      <c r="E36" s="99">
        <f>'LDB-10'!X113</f>
        <v>-3.1078708656873122E-6</v>
      </c>
      <c r="F36" s="97">
        <f>'LDB-10'!S113</f>
        <v>1.0037869884913111</v>
      </c>
      <c r="G36" s="98">
        <f>'LDB-10'!T113</f>
        <v>0.95797647447407785</v>
      </c>
      <c r="H36" s="29"/>
    </row>
    <row r="37" spans="2:10" ht="12.75" customHeight="1" thickBot="1" x14ac:dyDescent="0.25">
      <c r="C37" s="15"/>
      <c r="D37" s="15"/>
      <c r="E37" s="15"/>
      <c r="F37" s="15"/>
      <c r="G37" s="15"/>
    </row>
    <row r="38" spans="2:10" ht="12.75" customHeight="1" thickBot="1" x14ac:dyDescent="0.25">
      <c r="C38" s="109" t="s">
        <v>42</v>
      </c>
      <c r="D38" s="110"/>
      <c r="E38" s="110"/>
      <c r="F38" s="110"/>
      <c r="G38" s="111"/>
    </row>
    <row r="39" spans="2:10" ht="12.75" customHeight="1" x14ac:dyDescent="0.2">
      <c r="C39" s="106" t="str">
        <f>CONCATENATE("Over ", $J$3)</f>
        <v>Over [vcgit.hhi.fraunhofer.de][jvet][VVCSoftware_BMS.git][599ab8f][VTM]</v>
      </c>
      <c r="D39" s="107"/>
      <c r="E39" s="107"/>
      <c r="F39" s="107"/>
      <c r="G39" s="108"/>
    </row>
    <row r="40" spans="2:10" ht="12.75" customHeight="1" thickBot="1" x14ac:dyDescent="0.25">
      <c r="C40" s="51" t="s">
        <v>3</v>
      </c>
      <c r="D40" s="52" t="s">
        <v>4</v>
      </c>
      <c r="E40" s="53" t="s">
        <v>5</v>
      </c>
      <c r="F40" s="54" t="s">
        <v>6</v>
      </c>
      <c r="G40" s="55" t="s">
        <v>7</v>
      </c>
      <c r="I40" s="28"/>
      <c r="J40" s="28"/>
    </row>
    <row r="41" spans="2:10" ht="12.75" customHeight="1" x14ac:dyDescent="0.2">
      <c r="B41" s="67" t="str">
        <f>B5</f>
        <v>Class A1</v>
      </c>
      <c r="C41" s="56"/>
      <c r="D41" s="57"/>
      <c r="E41" s="58"/>
      <c r="F41" s="59"/>
      <c r="G41" s="60"/>
    </row>
    <row r="42" spans="2:10" ht="12.75" customHeight="1" x14ac:dyDescent="0.2">
      <c r="B42" s="68" t="str">
        <f>B6</f>
        <v>Class A2</v>
      </c>
      <c r="C42" s="61"/>
      <c r="D42" s="62"/>
      <c r="E42" s="63"/>
      <c r="F42" s="64"/>
      <c r="G42" s="65"/>
    </row>
    <row r="43" spans="2:10" ht="12.75" customHeight="1" x14ac:dyDescent="0.2">
      <c r="B43" s="68" t="str">
        <f>B7</f>
        <v>Class B</v>
      </c>
      <c r="C43" s="61">
        <f>'LDP-10'!V109</f>
        <v>-5.0685508270476019E-7</v>
      </c>
      <c r="D43" s="62">
        <f>'LDP-10'!W109</f>
        <v>-4.4467482374077605E-7</v>
      </c>
      <c r="E43" s="63">
        <f>'LDP-10'!X109</f>
        <v>-4.5643255941474337E-7</v>
      </c>
      <c r="F43" s="64">
        <f>'LDP-10'!S109</f>
        <v>0.98280372346736422</v>
      </c>
      <c r="G43" s="65">
        <f>'LDP-10'!T109</f>
        <v>0.97301319964916833</v>
      </c>
    </row>
    <row r="44" spans="2:10" ht="12.75" customHeight="1" x14ac:dyDescent="0.2">
      <c r="B44" s="68" t="str">
        <f>B8</f>
        <v>Class C</v>
      </c>
      <c r="C44" s="61">
        <f>'LDP-10'!V110</f>
        <v>-1.383193723836218E-6</v>
      </c>
      <c r="D44" s="62">
        <f>'LDP-10'!W110</f>
        <v>-1.236606145704755E-6</v>
      </c>
      <c r="E44" s="63">
        <f>'LDP-10'!X110</f>
        <v>-1.232060720807171E-6</v>
      </c>
      <c r="F44" s="64">
        <f>'LDP-10'!S110</f>
        <v>0.98383815701319521</v>
      </c>
      <c r="G44" s="65">
        <f>'LDP-10'!T110</f>
        <v>0.92803308974123799</v>
      </c>
    </row>
    <row r="45" spans="2:10" ht="12.75" customHeight="1" thickBot="1" x14ac:dyDescent="0.25">
      <c r="B45" s="68" t="str">
        <f>B9</f>
        <v>Class E</v>
      </c>
      <c r="C45" s="61">
        <f>'LDP-10'!V112</f>
        <v>-5.7219966802894246E-6</v>
      </c>
      <c r="D45" s="62">
        <f>'LDP-10'!W112</f>
        <v>-4.8711611942605275E-6</v>
      </c>
      <c r="E45" s="63">
        <f>'LDP-10'!X112</f>
        <v>-5.0155167536184804E-6</v>
      </c>
      <c r="F45" s="64">
        <f>'LDP-10'!S112</f>
        <v>1.0058598458248944</v>
      </c>
      <c r="G45" s="65">
        <f>'LDP-10'!T112</f>
        <v>0.97273454937225046</v>
      </c>
    </row>
    <row r="46" spans="2:10" ht="12.75" customHeight="1" thickBot="1" x14ac:dyDescent="0.25">
      <c r="B46" s="92" t="s">
        <v>28</v>
      </c>
      <c r="C46" s="56">
        <f>'LDP-10'!V114</f>
        <v>-2.102753362478079E-6</v>
      </c>
      <c r="D46" s="57">
        <f>'LDP-10'!W114</f>
        <v>-1.8152735236920403E-6</v>
      </c>
      <c r="E46" s="58">
        <f>'LDP-10'!X114</f>
        <v>-1.85474632842982E-6</v>
      </c>
      <c r="F46" s="59">
        <f>'LDP-10'!S114</f>
        <v>0.98886442322295254</v>
      </c>
      <c r="G46" s="60">
        <f>'LDP-10'!T114</f>
        <v>0.95771409133773888</v>
      </c>
    </row>
    <row r="47" spans="2:10" ht="12.75" customHeight="1" x14ac:dyDescent="0.2">
      <c r="B47" s="94" t="str">
        <f>B11</f>
        <v>Class D</v>
      </c>
      <c r="C47" s="56">
        <f>'LDP-10'!V111</f>
        <v>-2.6337886225655804E-3</v>
      </c>
      <c r="D47" s="57">
        <f>'LDP-10'!W111</f>
        <v>5.8344925573445283E-3</v>
      </c>
      <c r="E47" s="58">
        <f>'LDP-10'!X111</f>
        <v>-5.0933316431903131E-4</v>
      </c>
      <c r="F47" s="70">
        <f>'LDP-10'!S111</f>
        <v>0.96761354159633584</v>
      </c>
      <c r="G47" s="60">
        <f>'LDP-10'!T111</f>
        <v>0.94019276775929383</v>
      </c>
    </row>
    <row r="48" spans="2:10" ht="12.75" customHeight="1" thickBot="1" x14ac:dyDescent="0.25">
      <c r="B48" s="51" t="str">
        <f>B12</f>
        <v>Class F (optional)</v>
      </c>
      <c r="C48" s="95">
        <f>'LDP-10'!V113</f>
        <v>-3.5230058012813981E-6</v>
      </c>
      <c r="D48" s="96">
        <f>'LDP-10'!W113</f>
        <v>-3.0889475722273296E-6</v>
      </c>
      <c r="E48" s="99">
        <f>'LDP-10'!X113</f>
        <v>-3.0660741019150617E-6</v>
      </c>
      <c r="F48" s="97">
        <f>'LDP-10'!S113</f>
        <v>0.99517505117078242</v>
      </c>
      <c r="G48" s="98">
        <f>'LDP-10'!T113</f>
        <v>0.95710143171970086</v>
      </c>
    </row>
  </sheetData>
  <mergeCells count="8">
    <mergeCell ref="C39:G39"/>
    <mergeCell ref="C3:G3"/>
    <mergeCell ref="C15:G15"/>
    <mergeCell ref="C27:G27"/>
    <mergeCell ref="C2:G2"/>
    <mergeCell ref="C14:G14"/>
    <mergeCell ref="C26:G26"/>
    <mergeCell ref="C38:G38"/>
  </mergeCells>
  <phoneticPr fontId="8" type="noConversion"/>
  <conditionalFormatting sqref="C9:E9 C12:E12">
    <cfRule type="cellIs" dxfId="991" priority="339" stopIfTrue="1" operator="greaterThan">
      <formula>0.03</formula>
    </cfRule>
    <cfRule type="cellIs" dxfId="990" priority="340" stopIfTrue="1" operator="lessThan">
      <formula>-0.03</formula>
    </cfRule>
  </conditionalFormatting>
  <conditionalFormatting sqref="C10:E10">
    <cfRule type="cellIs" dxfId="989" priority="265" stopIfTrue="1" operator="greaterThan">
      <formula>0.03</formula>
    </cfRule>
    <cfRule type="cellIs" dxfId="988" priority="266" stopIfTrue="1" operator="lessThan">
      <formula>-0.03</formula>
    </cfRule>
  </conditionalFormatting>
  <conditionalFormatting sqref="C5:E5 C7:E8">
    <cfRule type="cellIs" dxfId="987" priority="263" stopIfTrue="1" operator="greaterThan">
      <formula>0.03</formula>
    </cfRule>
    <cfRule type="cellIs" dxfId="986" priority="264" stopIfTrue="1" operator="lessThan">
      <formula>-0.03</formula>
    </cfRule>
  </conditionalFormatting>
  <conditionalFormatting sqref="C6:E6">
    <cfRule type="cellIs" dxfId="985" priority="79" stopIfTrue="1" operator="greaterThan">
      <formula>0.03</formula>
    </cfRule>
    <cfRule type="cellIs" dxfId="984" priority="80" stopIfTrue="1" operator="lessThan">
      <formula>-0.03</formula>
    </cfRule>
  </conditionalFormatting>
  <conditionalFormatting sqref="C21:E21 C24:E24">
    <cfRule type="cellIs" dxfId="983" priority="63" stopIfTrue="1" operator="greaterThan">
      <formula>0.03</formula>
    </cfRule>
    <cfRule type="cellIs" dxfId="982" priority="64" stopIfTrue="1" operator="lessThan">
      <formula>-0.03</formula>
    </cfRule>
  </conditionalFormatting>
  <conditionalFormatting sqref="C22:E22">
    <cfRule type="cellIs" dxfId="981" priority="61" stopIfTrue="1" operator="greaterThan">
      <formula>0.03</formula>
    </cfRule>
    <cfRule type="cellIs" dxfId="980" priority="62" stopIfTrue="1" operator="lessThan">
      <formula>-0.03</formula>
    </cfRule>
  </conditionalFormatting>
  <conditionalFormatting sqref="C17:E17 C19:E20">
    <cfRule type="cellIs" dxfId="979" priority="59" stopIfTrue="1" operator="greaterThan">
      <formula>0.03</formula>
    </cfRule>
    <cfRule type="cellIs" dxfId="978" priority="60" stopIfTrue="1" operator="lessThan">
      <formula>-0.03</formula>
    </cfRule>
  </conditionalFormatting>
  <conditionalFormatting sqref="C18:E18">
    <cfRule type="cellIs" dxfId="977" priority="51" stopIfTrue="1" operator="greaterThan">
      <formula>0.03</formula>
    </cfRule>
    <cfRule type="cellIs" dxfId="976" priority="52" stopIfTrue="1" operator="lessThan">
      <formula>-0.03</formula>
    </cfRule>
  </conditionalFormatting>
  <conditionalFormatting sqref="C33:E33 C36:E36">
    <cfRule type="cellIs" dxfId="975" priority="47" stopIfTrue="1" operator="greaterThan">
      <formula>0.03</formula>
    </cfRule>
    <cfRule type="cellIs" dxfId="974" priority="48" stopIfTrue="1" operator="lessThan">
      <formula>-0.03</formula>
    </cfRule>
  </conditionalFormatting>
  <conditionalFormatting sqref="C34:E34">
    <cfRule type="cellIs" dxfId="973" priority="45" stopIfTrue="1" operator="greaterThan">
      <formula>0.03</formula>
    </cfRule>
    <cfRule type="cellIs" dxfId="972" priority="46" stopIfTrue="1" operator="lessThan">
      <formula>-0.03</formula>
    </cfRule>
  </conditionalFormatting>
  <conditionalFormatting sqref="C29:E29 C31:E32">
    <cfRule type="cellIs" dxfId="971" priority="43" stopIfTrue="1" operator="greaterThan">
      <formula>0.03</formula>
    </cfRule>
    <cfRule type="cellIs" dxfId="970" priority="44" stopIfTrue="1" operator="lessThan">
      <formula>-0.03</formula>
    </cfRule>
  </conditionalFormatting>
  <conditionalFormatting sqref="C30:E30">
    <cfRule type="cellIs" dxfId="969" priority="35" stopIfTrue="1" operator="greaterThan">
      <formula>0.03</formula>
    </cfRule>
    <cfRule type="cellIs" dxfId="968" priority="36" stopIfTrue="1" operator="lessThan">
      <formula>-0.03</formula>
    </cfRule>
  </conditionalFormatting>
  <conditionalFormatting sqref="C45:E45 C48:E48">
    <cfRule type="cellIs" dxfId="967" priority="31" stopIfTrue="1" operator="greaterThan">
      <formula>0.03</formula>
    </cfRule>
    <cfRule type="cellIs" dxfId="966" priority="32" stopIfTrue="1" operator="lessThan">
      <formula>-0.03</formula>
    </cfRule>
  </conditionalFormatting>
  <conditionalFormatting sqref="C46:E46">
    <cfRule type="cellIs" dxfId="965" priority="29" stopIfTrue="1" operator="greaterThan">
      <formula>0.03</formula>
    </cfRule>
    <cfRule type="cellIs" dxfId="964" priority="30" stopIfTrue="1" operator="lessThan">
      <formula>-0.03</formula>
    </cfRule>
  </conditionalFormatting>
  <conditionalFormatting sqref="C41:E41 C43:E44">
    <cfRule type="cellIs" dxfId="963" priority="27" stopIfTrue="1" operator="greaterThan">
      <formula>0.03</formula>
    </cfRule>
    <cfRule type="cellIs" dxfId="962" priority="28" stopIfTrue="1" operator="lessThan">
      <formula>-0.03</formula>
    </cfRule>
  </conditionalFormatting>
  <conditionalFormatting sqref="C42:E42">
    <cfRule type="cellIs" dxfId="961" priority="19" stopIfTrue="1" operator="greaterThan">
      <formula>0.03</formula>
    </cfRule>
    <cfRule type="cellIs" dxfId="960" priority="20" stopIfTrue="1" operator="lessThan">
      <formula>-0.03</formula>
    </cfRule>
  </conditionalFormatting>
  <conditionalFormatting sqref="C11:E11">
    <cfRule type="cellIs" dxfId="959" priority="15" stopIfTrue="1" operator="greaterThan">
      <formula>0.03</formula>
    </cfRule>
    <cfRule type="cellIs" dxfId="958" priority="16" stopIfTrue="1" operator="lessThan">
      <formula>-0.03</formula>
    </cfRule>
  </conditionalFormatting>
  <conditionalFormatting sqref="C23:E23">
    <cfRule type="cellIs" dxfId="957" priority="11" stopIfTrue="1" operator="greaterThan">
      <formula>0.03</formula>
    </cfRule>
    <cfRule type="cellIs" dxfId="956" priority="12" stopIfTrue="1" operator="lessThan">
      <formula>-0.03</formula>
    </cfRule>
  </conditionalFormatting>
  <conditionalFormatting sqref="C35:E35">
    <cfRule type="cellIs" dxfId="955" priority="7" stopIfTrue="1" operator="greaterThan">
      <formula>0.03</formula>
    </cfRule>
    <cfRule type="cellIs" dxfId="954" priority="8" stopIfTrue="1" operator="lessThan">
      <formula>-0.03</formula>
    </cfRule>
  </conditionalFormatting>
  <conditionalFormatting sqref="C47:E47">
    <cfRule type="cellIs" dxfId="953" priority="3" stopIfTrue="1" operator="greaterThan">
      <formula>0.03</formula>
    </cfRule>
    <cfRule type="cellIs" dxfId="95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Q86"/>
  <sheetViews>
    <sheetView workbookViewId="0">
      <selection activeCell="AA28" sqref="AA28"/>
    </sheetView>
  </sheetViews>
  <sheetFormatPr defaultColWidth="8.875" defaultRowHeight="14.25" x14ac:dyDescent="0.15"/>
  <cols>
    <col min="2" max="2" width="21.375" style="21" customWidth="1"/>
    <col min="25" max="26" width="9" style="21" customWidth="1"/>
    <col min="27" max="27" width="16.375" style="21" bestFit="1" customWidth="1"/>
    <col min="28" max="39" width="9" style="21" customWidth="1"/>
  </cols>
  <sheetData>
    <row r="1" spans="1:43" ht="16.5" customHeight="1" thickBot="1" x14ac:dyDescent="0.2">
      <c r="A1" t="s">
        <v>43</v>
      </c>
      <c r="AD1" t="s">
        <v>44</v>
      </c>
      <c r="AI1" t="s">
        <v>45</v>
      </c>
      <c r="AN1" t="s">
        <v>46</v>
      </c>
    </row>
    <row r="2" spans="1:43" ht="16.5" customHeight="1" thickBot="1" x14ac:dyDescent="0.25">
      <c r="A2" s="20" t="s">
        <v>47</v>
      </c>
      <c r="B2" s="20" t="s">
        <v>48</v>
      </c>
      <c r="AD2" s="3" t="s">
        <v>49</v>
      </c>
      <c r="AE2" s="4" t="s">
        <v>50</v>
      </c>
      <c r="AF2" s="4" t="s">
        <v>51</v>
      </c>
      <c r="AG2" s="4" t="s">
        <v>52</v>
      </c>
      <c r="AI2" s="3" t="s">
        <v>49</v>
      </c>
      <c r="AJ2" s="4" t="s">
        <v>50</v>
      </c>
      <c r="AK2" s="4" t="s">
        <v>51</v>
      </c>
      <c r="AL2" s="4" t="s">
        <v>52</v>
      </c>
      <c r="AN2" s="3" t="s">
        <v>49</v>
      </c>
      <c r="AO2" s="4" t="s">
        <v>50</v>
      </c>
      <c r="AP2" s="4" t="s">
        <v>51</v>
      </c>
      <c r="AQ2" s="4" t="s">
        <v>52</v>
      </c>
    </row>
    <row r="3" spans="1:43" x14ac:dyDescent="0.15">
      <c r="Z3" t="s">
        <v>53</v>
      </c>
      <c r="AA3" t="s">
        <v>48</v>
      </c>
      <c r="AB3">
        <v>3</v>
      </c>
      <c r="AC3">
        <f>VLOOKUP(B2,AA3:AB43,2,FALSE)</f>
        <v>3</v>
      </c>
      <c r="AD3">
        <f ca="1">INDIRECT("'"&amp;$A$2&amp;"'!"&amp;ADDRESS($AC3,4))</f>
        <v>28286.987799999999</v>
      </c>
      <c r="AE3">
        <f ca="1">INDIRECT("'"&amp;$A$2&amp;"'!"&amp;ADDRESS($AC3,5))</f>
        <v>40.324800000000003</v>
      </c>
      <c r="AF3">
        <f ca="1">INDIRECT("'"&amp;$A$2&amp;"'!"&amp;ADDRESS($AC3,6))</f>
        <v>49.102800000000002</v>
      </c>
      <c r="AG3">
        <f ca="1">INDIRECT("'"&amp;$A$2&amp;"'!"&amp;ADDRESS($AC3,7))</f>
        <v>47.4193</v>
      </c>
      <c r="AI3">
        <f ca="1">INDIRECT("'"&amp;$A$2&amp;"'!"&amp;ADDRESS($AC3,12))</f>
        <v>28286.991020408099</v>
      </c>
      <c r="AJ3">
        <f ca="1">INDIRECT("'"&amp;$A$2&amp;"'!"&amp;ADDRESS($AC3,13))</f>
        <v>40.324754421768702</v>
      </c>
      <c r="AK3">
        <f ca="1">INDIRECT("'"&amp;$A$2&amp;"'!"&amp;ADDRESS($AC3,14))</f>
        <v>49.102830612244901</v>
      </c>
      <c r="AL3">
        <f ca="1">INDIRECT("'"&amp;$A$2&amp;"'!"&amp;ADDRESS($AC3,15))</f>
        <v>47.419237755102003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15">
      <c r="Z4" t="s">
        <v>47</v>
      </c>
      <c r="AA4" t="s">
        <v>54</v>
      </c>
      <c r="AB4">
        <f t="shared" ref="AB4:AB28" si="0">AB3+4</f>
        <v>7</v>
      </c>
      <c r="AC4">
        <f>AC3+1</f>
        <v>4</v>
      </c>
      <c r="AD4">
        <f ca="1">INDIRECT("'"&amp;$A$2&amp;"'!"&amp;ADDRESS($AC4,4))</f>
        <v>7651.1607999999997</v>
      </c>
      <c r="AE4">
        <f ca="1">INDIRECT("'"&amp;$A$2&amp;"'!"&amp;ADDRESS($AC4,5))</f>
        <v>39.573700000000002</v>
      </c>
      <c r="AF4">
        <f ca="1">INDIRECT("'"&amp;$A$2&amp;"'!"&amp;ADDRESS($AC4,6))</f>
        <v>48.326999999999998</v>
      </c>
      <c r="AG4">
        <f ca="1">INDIRECT("'"&amp;$A$2&amp;"'!"&amp;ADDRESS($AC4,7))</f>
        <v>46.198300000000003</v>
      </c>
      <c r="AI4">
        <f ca="1">INDIRECT("'"&amp;$A$2&amp;"'!"&amp;ADDRESS($AC4,12))</f>
        <v>7651.1640816326499</v>
      </c>
      <c r="AJ4">
        <f ca="1">INDIRECT("'"&amp;$A$2&amp;"'!"&amp;ADDRESS($AC4,13))</f>
        <v>39.573667687074803</v>
      </c>
      <c r="AK4">
        <f ca="1">INDIRECT("'"&amp;$A$2&amp;"'!"&amp;ADDRESS($AC4,14))</f>
        <v>48.326991496598602</v>
      </c>
      <c r="AL4">
        <f ca="1">INDIRECT("'"&amp;$A$2&amp;"'!"&amp;ADDRESS($AC4,15))</f>
        <v>46.198277551020396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15">
      <c r="Z5" t="s">
        <v>55</v>
      </c>
      <c r="AA5" t="s">
        <v>56</v>
      </c>
      <c r="AB5">
        <f t="shared" si="0"/>
        <v>11</v>
      </c>
      <c r="AC5">
        <f>AC4+1</f>
        <v>5</v>
      </c>
      <c r="AD5">
        <f ca="1">INDIRECT("'"&amp;$A$2&amp;"'!"&amp;ADDRESS($AC5,4))</f>
        <v>3803.8629000000001</v>
      </c>
      <c r="AE5">
        <f ca="1">INDIRECT("'"&amp;$A$2&amp;"'!"&amp;ADDRESS($AC5,5))</f>
        <v>38.631100000000004</v>
      </c>
      <c r="AF5">
        <f ca="1">INDIRECT("'"&amp;$A$2&amp;"'!"&amp;ADDRESS($AC5,6))</f>
        <v>47.5105</v>
      </c>
      <c r="AG5">
        <f ca="1">INDIRECT("'"&amp;$A$2&amp;"'!"&amp;ADDRESS($AC5,7))</f>
        <v>44.991700000000002</v>
      </c>
      <c r="AI5">
        <f ca="1">INDIRECT("'"&amp;$A$2&amp;"'!"&amp;ADDRESS($AC5,12))</f>
        <v>3803.8661224489701</v>
      </c>
      <c r="AJ5">
        <f ca="1">INDIRECT("'"&amp;$A$2&amp;"'!"&amp;ADDRESS($AC5,13))</f>
        <v>38.631076530612198</v>
      </c>
      <c r="AK5">
        <f ca="1">INDIRECT("'"&amp;$A$2&amp;"'!"&amp;ADDRESS($AC5,14))</f>
        <v>47.510539115646203</v>
      </c>
      <c r="AL5">
        <f ca="1">INDIRECT("'"&amp;$A$2&amp;"'!"&amp;ADDRESS($AC5,15))</f>
        <v>44.991722108843497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15">
      <c r="Z6" t="s">
        <v>57</v>
      </c>
      <c r="AA6" t="s">
        <v>58</v>
      </c>
      <c r="AB6">
        <f t="shared" si="0"/>
        <v>15</v>
      </c>
      <c r="AC6">
        <f>AC5+1</f>
        <v>6</v>
      </c>
      <c r="AD6">
        <f ca="1">INDIRECT("'"&amp;$A$2&amp;"'!"&amp;ADDRESS($AC6,4))</f>
        <v>2087.2473</v>
      </c>
      <c r="AE6">
        <f ca="1">INDIRECT("'"&amp;$A$2&amp;"'!"&amp;ADDRESS($AC6,5))</f>
        <v>37.2087</v>
      </c>
      <c r="AF6">
        <f ca="1">INDIRECT("'"&amp;$A$2&amp;"'!"&amp;ADDRESS($AC6,6))</f>
        <v>46.628599999999999</v>
      </c>
      <c r="AG6">
        <f ca="1">INDIRECT("'"&amp;$A$2&amp;"'!"&amp;ADDRESS($AC6,7))</f>
        <v>43.691099999999999</v>
      </c>
      <c r="AI6">
        <f ca="1">INDIRECT("'"&amp;$A$2&amp;"'!"&amp;ADDRESS($AC6,12))</f>
        <v>2087.2506122448899</v>
      </c>
      <c r="AJ6">
        <f ca="1">INDIRECT("'"&amp;$A$2&amp;"'!"&amp;ADDRESS($AC6,13))</f>
        <v>37.208667687074801</v>
      </c>
      <c r="AK6">
        <f ca="1">INDIRECT("'"&amp;$A$2&amp;"'!"&amp;ADDRESS($AC6,14))</f>
        <v>46.628576190476103</v>
      </c>
      <c r="AL6">
        <f ca="1">INDIRECT("'"&amp;$A$2&amp;"'!"&amp;ADDRESS($AC6,15))</f>
        <v>43.691080612244797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15">
      <c r="AA7" t="s">
        <v>59</v>
      </c>
      <c r="AB7">
        <f t="shared" si="0"/>
        <v>19</v>
      </c>
    </row>
    <row r="8" spans="1:43" x14ac:dyDescent="0.15">
      <c r="AA8" t="s">
        <v>60</v>
      </c>
      <c r="AB8">
        <f t="shared" si="0"/>
        <v>23</v>
      </c>
      <c r="AD8" t="str">
        <f>"Sequence: "&amp;B2 &amp; "     Coding Conditions: " &amp; A2</f>
        <v>Sequence: Tango2     Coding Conditions: RA-10</v>
      </c>
    </row>
    <row r="9" spans="1:43" x14ac:dyDescent="0.15">
      <c r="AA9" t="s">
        <v>61</v>
      </c>
      <c r="AB9">
        <f t="shared" si="0"/>
        <v>27</v>
      </c>
    </row>
    <row r="10" spans="1:43" x14ac:dyDescent="0.15">
      <c r="AA10" t="s">
        <v>62</v>
      </c>
      <c r="AB10">
        <f t="shared" si="0"/>
        <v>31</v>
      </c>
    </row>
    <row r="11" spans="1:43" x14ac:dyDescent="0.15">
      <c r="AA11" t="s">
        <v>63</v>
      </c>
      <c r="AB11">
        <f t="shared" si="0"/>
        <v>35</v>
      </c>
      <c r="AD11" t="s">
        <v>64</v>
      </c>
      <c r="AE11" t="s">
        <v>65</v>
      </c>
      <c r="AF11" t="s">
        <v>66</v>
      </c>
      <c r="AG11" t="s">
        <v>67</v>
      </c>
    </row>
    <row r="12" spans="1:43" ht="15" x14ac:dyDescent="0.2">
      <c r="AA12" t="s">
        <v>68</v>
      </c>
      <c r="AB12">
        <f t="shared" si="0"/>
        <v>39</v>
      </c>
      <c r="AD12" s="22">
        <f ca="1">MAX(AD3:AD6,AI3:AI6, AN3:AN6)</f>
        <v>28286.991020408099</v>
      </c>
      <c r="AE12" s="22">
        <f ca="1">MAX(AE3:AE6,AJ3:AJ6, AO3:AO6)</f>
        <v>40.324800000000003</v>
      </c>
      <c r="AF12" s="22">
        <f ca="1">MAX(AF3:AF6,AK3:AK6, AP3:AP6)</f>
        <v>49.102830612244901</v>
      </c>
      <c r="AG12" s="22">
        <f ca="1">MAX(AG3:AG6,AL3:AL6, AQ3:AQ6)</f>
        <v>47.4193</v>
      </c>
    </row>
    <row r="13" spans="1:43" ht="15" x14ac:dyDescent="0.2">
      <c r="AA13" t="s">
        <v>69</v>
      </c>
      <c r="AB13">
        <f t="shared" si="0"/>
        <v>43</v>
      </c>
      <c r="AD13" s="22">
        <f ca="1">MIN(AD3:AD6,AI3:AI6,AN3:AN6)</f>
        <v>0</v>
      </c>
      <c r="AE13" s="22">
        <f ca="1">MIN(AE3:AE6,AJ3:AJ6,AO3:AO6)</f>
        <v>0</v>
      </c>
      <c r="AF13" s="22">
        <f ca="1">MIN(AF3:AF6,AK3:AK6,AP3:AP6)</f>
        <v>0</v>
      </c>
      <c r="AG13" s="22">
        <f ca="1">MIN(AG3:AG6,AL3:AL6,AQ3:AQ6)</f>
        <v>0</v>
      </c>
    </row>
    <row r="14" spans="1:43" ht="15" x14ac:dyDescent="0.2">
      <c r="AA14" t="s">
        <v>70</v>
      </c>
      <c r="AB14">
        <f t="shared" si="0"/>
        <v>47</v>
      </c>
      <c r="AD14" s="23"/>
      <c r="AE14" s="23"/>
      <c r="AF14" s="23"/>
      <c r="AG14" s="23"/>
    </row>
    <row r="15" spans="1:43" ht="15" x14ac:dyDescent="0.2">
      <c r="AA15" t="s">
        <v>71</v>
      </c>
      <c r="AB15">
        <f t="shared" si="0"/>
        <v>51</v>
      </c>
      <c r="AD15" s="23">
        <f ca="1">POWER(10,CEILING(LOG(AD12+1),1))</f>
        <v>100000</v>
      </c>
      <c r="AE15" s="102">
        <f ca="1">CEILING(AE12+0.25,0.5)</f>
        <v>41</v>
      </c>
      <c r="AF15" s="102">
        <f ca="1">CEILING(AF12+0.25,0.5)</f>
        <v>49.5</v>
      </c>
      <c r="AG15" s="102">
        <f ca="1">CEILING(AG12+0.25,0.5)</f>
        <v>48</v>
      </c>
    </row>
    <row r="16" spans="1:43" ht="15" x14ac:dyDescent="0.2">
      <c r="AA16" t="s">
        <v>72</v>
      </c>
      <c r="AB16">
        <f t="shared" si="0"/>
        <v>55</v>
      </c>
      <c r="AD16" s="23">
        <f ca="1">POWER(10,FLOOR(LOG(AD13+10),1))</f>
        <v>10</v>
      </c>
      <c r="AE16" s="102">
        <f ca="1">FLOOR(AE13-0.25,0.5)</f>
        <v>-0.5</v>
      </c>
      <c r="AF16" s="102">
        <f ca="1">FLOOR(AF13-0.25,0.5)</f>
        <v>-0.5</v>
      </c>
      <c r="AG16" s="102">
        <f ca="1">FLOOR(AG13-0.25,0.5)</f>
        <v>-0.5</v>
      </c>
    </row>
    <row r="17" spans="27:28" x14ac:dyDescent="0.15">
      <c r="AA17" t="s">
        <v>73</v>
      </c>
      <c r="AB17">
        <f t="shared" si="0"/>
        <v>59</v>
      </c>
    </row>
    <row r="18" spans="27:28" x14ac:dyDescent="0.15">
      <c r="AA18" t="s">
        <v>74</v>
      </c>
      <c r="AB18">
        <f t="shared" si="0"/>
        <v>63</v>
      </c>
    </row>
    <row r="19" spans="27:28" x14ac:dyDescent="0.15">
      <c r="AA19" t="s">
        <v>75</v>
      </c>
      <c r="AB19">
        <f t="shared" si="0"/>
        <v>67</v>
      </c>
    </row>
    <row r="20" spans="27:28" x14ac:dyDescent="0.15">
      <c r="AA20" t="s">
        <v>76</v>
      </c>
      <c r="AB20">
        <f t="shared" si="0"/>
        <v>71</v>
      </c>
    </row>
    <row r="21" spans="27:28" x14ac:dyDescent="0.15">
      <c r="AA21" t="s">
        <v>77</v>
      </c>
      <c r="AB21">
        <f t="shared" si="0"/>
        <v>75</v>
      </c>
    </row>
    <row r="22" spans="27:28" x14ac:dyDescent="0.15">
      <c r="AA22" t="s">
        <v>78</v>
      </c>
      <c r="AB22">
        <f t="shared" si="0"/>
        <v>79</v>
      </c>
    </row>
    <row r="23" spans="27:28" x14ac:dyDescent="0.15">
      <c r="AA23" t="s">
        <v>79</v>
      </c>
      <c r="AB23">
        <f t="shared" si="0"/>
        <v>83</v>
      </c>
    </row>
    <row r="24" spans="27:28" x14ac:dyDescent="0.15">
      <c r="AA24" t="s">
        <v>80</v>
      </c>
      <c r="AB24">
        <f t="shared" si="0"/>
        <v>87</v>
      </c>
    </row>
    <row r="25" spans="27:28" x14ac:dyDescent="0.15">
      <c r="AA25" t="s">
        <v>81</v>
      </c>
      <c r="AB25">
        <f t="shared" si="0"/>
        <v>91</v>
      </c>
    </row>
    <row r="26" spans="27:28" x14ac:dyDescent="0.15">
      <c r="AA26" t="s">
        <v>82</v>
      </c>
      <c r="AB26">
        <f t="shared" si="0"/>
        <v>95</v>
      </c>
    </row>
    <row r="27" spans="27:28" x14ac:dyDescent="0.15">
      <c r="AA27" t="s">
        <v>83</v>
      </c>
      <c r="AB27">
        <f t="shared" si="0"/>
        <v>99</v>
      </c>
    </row>
    <row r="28" spans="27:28" x14ac:dyDescent="0.15">
      <c r="AA28" t="s">
        <v>84</v>
      </c>
      <c r="AB28">
        <f t="shared" si="0"/>
        <v>103</v>
      </c>
    </row>
    <row r="33" spans="27:27" ht="15" x14ac:dyDescent="0.2">
      <c r="AA33" s="15"/>
    </row>
    <row r="34" spans="27:27" ht="15" x14ac:dyDescent="0.2">
      <c r="AA34" s="15"/>
    </row>
    <row r="35" spans="27:27" ht="15" x14ac:dyDescent="0.2">
      <c r="AA35" s="15"/>
    </row>
    <row r="36" spans="27:27" ht="15" x14ac:dyDescent="0.2">
      <c r="AA36" s="15"/>
    </row>
    <row r="37" spans="27:27" ht="15" x14ac:dyDescent="0.2">
      <c r="AA37" s="15"/>
    </row>
    <row r="38" spans="27:27" ht="15" x14ac:dyDescent="0.2">
      <c r="AA38" s="15"/>
    </row>
    <row r="39" spans="27:27" ht="15" x14ac:dyDescent="0.2">
      <c r="AA39" s="15"/>
    </row>
    <row r="40" spans="27:27" ht="15" x14ac:dyDescent="0.2">
      <c r="AA40" s="15"/>
    </row>
    <row r="41" spans="27:27" ht="15" x14ac:dyDescent="0.2">
      <c r="AA41" s="15"/>
    </row>
    <row r="42" spans="27:27" ht="15" x14ac:dyDescent="0.2">
      <c r="AA42" s="15"/>
    </row>
    <row r="43" spans="27:27" ht="15" x14ac:dyDescent="0.2">
      <c r="AA43" s="15"/>
    </row>
    <row r="44" spans="27:27" ht="15" x14ac:dyDescent="0.2">
      <c r="AA44" s="15"/>
    </row>
    <row r="45" spans="27:27" ht="15" x14ac:dyDescent="0.2">
      <c r="AA45" s="15"/>
    </row>
    <row r="46" spans="27:27" ht="15" x14ac:dyDescent="0.2">
      <c r="AA46" s="15"/>
    </row>
    <row r="47" spans="27:27" ht="15" x14ac:dyDescent="0.2">
      <c r="AA47" s="15"/>
    </row>
    <row r="48" spans="27:27" ht="15" x14ac:dyDescent="0.2">
      <c r="AA48" s="15"/>
    </row>
    <row r="49" spans="27:27" ht="15" x14ac:dyDescent="0.2">
      <c r="AA49" s="15"/>
    </row>
    <row r="50" spans="27:27" ht="15" x14ac:dyDescent="0.2">
      <c r="AA50" s="15"/>
    </row>
    <row r="51" spans="27:27" ht="15" x14ac:dyDescent="0.2">
      <c r="AA51" s="15"/>
    </row>
    <row r="52" spans="27:27" ht="15" x14ac:dyDescent="0.2">
      <c r="AA52" s="15"/>
    </row>
    <row r="53" spans="27:27" ht="15" x14ac:dyDescent="0.2">
      <c r="AA53" s="15"/>
    </row>
    <row r="54" spans="27:27" ht="15" x14ac:dyDescent="0.2">
      <c r="AA54" s="15"/>
    </row>
    <row r="55" spans="27:27" ht="15" x14ac:dyDescent="0.2">
      <c r="AA55" s="15"/>
    </row>
    <row r="56" spans="27:27" ht="15" x14ac:dyDescent="0.2">
      <c r="AA56" s="15"/>
    </row>
    <row r="57" spans="27:27" ht="15" x14ac:dyDescent="0.2">
      <c r="AA57" s="15"/>
    </row>
    <row r="58" spans="27:27" ht="15" x14ac:dyDescent="0.2">
      <c r="AA58" s="15"/>
    </row>
    <row r="59" spans="27:27" ht="15" x14ac:dyDescent="0.2">
      <c r="AA59" s="15"/>
    </row>
    <row r="60" spans="27:27" ht="15" x14ac:dyDescent="0.2">
      <c r="AA60" s="15"/>
    </row>
    <row r="61" spans="27:27" ht="15" x14ac:dyDescent="0.2">
      <c r="AA61" s="15"/>
    </row>
    <row r="62" spans="27:27" ht="15" x14ac:dyDescent="0.2">
      <c r="AA62" s="15"/>
    </row>
    <row r="63" spans="27:27" ht="15" x14ac:dyDescent="0.2">
      <c r="AA63" s="15"/>
    </row>
    <row r="64" spans="27:27" ht="15" x14ac:dyDescent="0.2">
      <c r="AA64" s="15"/>
    </row>
    <row r="65" spans="27:27" ht="15" x14ac:dyDescent="0.2">
      <c r="AA65" s="15"/>
    </row>
    <row r="66" spans="27:27" ht="15" x14ac:dyDescent="0.2">
      <c r="AA66" s="15"/>
    </row>
    <row r="67" spans="27:27" ht="15" x14ac:dyDescent="0.2">
      <c r="AA67" s="15"/>
    </row>
    <row r="68" spans="27:27" ht="15" x14ac:dyDescent="0.2">
      <c r="AA68" s="15"/>
    </row>
    <row r="69" spans="27:27" ht="15" x14ac:dyDescent="0.2">
      <c r="AA69" s="15"/>
    </row>
    <row r="70" spans="27:27" ht="15" x14ac:dyDescent="0.2">
      <c r="AA70" s="15"/>
    </row>
    <row r="71" spans="27:27" ht="15" x14ac:dyDescent="0.2">
      <c r="AA71" s="15"/>
    </row>
    <row r="72" spans="27:27" ht="15" x14ac:dyDescent="0.2">
      <c r="AA72" s="15"/>
    </row>
    <row r="73" spans="27:27" ht="15" x14ac:dyDescent="0.2">
      <c r="AA73" s="15"/>
    </row>
    <row r="74" spans="27:27" ht="15" x14ac:dyDescent="0.2">
      <c r="AA74" s="15"/>
    </row>
    <row r="75" spans="27:27" ht="15" x14ac:dyDescent="0.2">
      <c r="AA75" s="15"/>
    </row>
    <row r="76" spans="27:27" ht="15" x14ac:dyDescent="0.2">
      <c r="AA76" s="15"/>
    </row>
    <row r="77" spans="27:27" ht="15" x14ac:dyDescent="0.2">
      <c r="AA77" s="15"/>
    </row>
    <row r="78" spans="27:27" ht="15" x14ac:dyDescent="0.2">
      <c r="AA78" s="15"/>
    </row>
    <row r="79" spans="27:27" ht="15" x14ac:dyDescent="0.2">
      <c r="AA79" s="15"/>
    </row>
    <row r="80" spans="27:27" ht="15" x14ac:dyDescent="0.2">
      <c r="AA80" s="15"/>
    </row>
    <row r="81" spans="27:27" ht="15" x14ac:dyDescent="0.2">
      <c r="AA81" s="15"/>
    </row>
    <row r="82" spans="27:27" ht="15" x14ac:dyDescent="0.2">
      <c r="AA82" s="15"/>
    </row>
    <row r="83" spans="27:27" ht="15" x14ac:dyDescent="0.2">
      <c r="AA83" s="15"/>
    </row>
    <row r="84" spans="27:27" ht="15" x14ac:dyDescent="0.2">
      <c r="AA84" s="15"/>
    </row>
    <row r="85" spans="27:27" ht="15" x14ac:dyDescent="0.2">
      <c r="AA85" s="15"/>
    </row>
    <row r="86" spans="27:27" ht="15" x14ac:dyDescent="0.2">
      <c r="AA86" s="15"/>
    </row>
  </sheetData>
  <phoneticPr fontId="8" type="noConversion"/>
  <dataValidations count="2">
    <dataValidation type="list" showInputMessage="1" showErrorMessage="1" sqref="A2" xr:uid="{00000000-0002-0000-0100-000000000000}">
      <formula1>$Z$3:$Z$14</formula1>
    </dataValidation>
    <dataValidation type="list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A117"/>
  <sheetViews>
    <sheetView tabSelected="1" topLeftCell="H1" workbookViewId="0">
      <selection activeCell="Q59" sqref="Q59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12" t="s">
        <v>85</v>
      </c>
      <c r="E1" s="113"/>
      <c r="F1" s="113"/>
      <c r="G1" s="113"/>
      <c r="H1" s="113"/>
      <c r="I1" s="113"/>
      <c r="J1" s="114"/>
      <c r="L1" s="112" t="s">
        <v>86</v>
      </c>
      <c r="M1" s="113"/>
      <c r="N1" s="113"/>
      <c r="O1" s="113"/>
      <c r="P1" s="113"/>
      <c r="Q1" s="113"/>
      <c r="R1" s="114"/>
      <c r="S1" s="27"/>
      <c r="T1" s="27"/>
      <c r="U1" s="5"/>
      <c r="V1" s="112" t="s">
        <v>87</v>
      </c>
      <c r="W1" s="113"/>
      <c r="X1" s="114"/>
      <c r="Y1" s="112" t="s">
        <v>88</v>
      </c>
      <c r="Z1" s="113"/>
      <c r="AA1" s="114"/>
    </row>
    <row r="2" spans="1:27" ht="12.75" customHeight="1" thickBot="1" x14ac:dyDescent="0.25">
      <c r="A2" s="46"/>
      <c r="B2" s="42"/>
      <c r="C2" s="41" t="s">
        <v>89</v>
      </c>
      <c r="D2" s="6" t="s">
        <v>49</v>
      </c>
      <c r="E2" s="7" t="s">
        <v>50</v>
      </c>
      <c r="F2" s="7" t="s">
        <v>51</v>
      </c>
      <c r="G2" s="7" t="s">
        <v>52</v>
      </c>
      <c r="H2" s="7" t="s">
        <v>90</v>
      </c>
      <c r="I2" s="7" t="s">
        <v>91</v>
      </c>
      <c r="J2" s="8" t="s">
        <v>92</v>
      </c>
      <c r="K2" s="5"/>
      <c r="L2" s="6" t="s">
        <v>49</v>
      </c>
      <c r="M2" s="7" t="s">
        <v>50</v>
      </c>
      <c r="N2" s="7" t="s">
        <v>51</v>
      </c>
      <c r="O2" s="7" t="s">
        <v>52</v>
      </c>
      <c r="P2" s="7" t="s">
        <v>90</v>
      </c>
      <c r="Q2" s="7" t="s">
        <v>91</v>
      </c>
      <c r="R2" s="8" t="s">
        <v>92</v>
      </c>
      <c r="S2" s="5" t="s">
        <v>93</v>
      </c>
      <c r="T2" s="5" t="s">
        <v>94</v>
      </c>
      <c r="U2" s="5"/>
      <c r="V2" s="6" t="s">
        <v>3</v>
      </c>
      <c r="W2" s="7" t="s">
        <v>4</v>
      </c>
      <c r="X2" s="8" t="s">
        <v>5</v>
      </c>
      <c r="Y2" s="6" t="s">
        <v>3</v>
      </c>
      <c r="Z2" s="7" t="s">
        <v>4</v>
      </c>
      <c r="AA2" s="8" t="s">
        <v>5</v>
      </c>
    </row>
    <row r="3" spans="1:27" x14ac:dyDescent="0.2">
      <c r="A3" s="24" t="s">
        <v>10</v>
      </c>
      <c r="B3" s="24" t="s">
        <v>48</v>
      </c>
      <c r="C3" s="24">
        <v>22</v>
      </c>
      <c r="D3" s="9">
        <f>Reference!B1</f>
        <v>18716.236199999999</v>
      </c>
      <c r="E3" s="10">
        <f>Reference!C1</f>
        <v>41.749099999999999</v>
      </c>
      <c r="F3" s="10">
        <f>Reference!D1</f>
        <v>49.513800000000003</v>
      </c>
      <c r="G3" s="10">
        <f>Reference!E1</f>
        <v>48.330800000000004</v>
      </c>
      <c r="H3" s="10">
        <f>Reference!F1</f>
        <v>80003.270338200004</v>
      </c>
      <c r="I3" s="10">
        <f>Reference!G1</f>
        <v>38.066849947000001</v>
      </c>
      <c r="J3" s="11">
        <f t="shared" ref="J3:J34" si="0">H3/3600</f>
        <v>22.2231306495</v>
      </c>
      <c r="L3" s="9">
        <f>Test!B1</f>
        <v>18716.233</v>
      </c>
      <c r="M3" s="10">
        <f>Test!C1</f>
        <v>41.749099999999999</v>
      </c>
      <c r="N3" s="10">
        <f>Test!D1</f>
        <v>49.513800000000003</v>
      </c>
      <c r="O3" s="10">
        <f>Test!E1</f>
        <v>48.330800000000004</v>
      </c>
      <c r="P3" s="10">
        <f>Test!F1</f>
        <v>78988.192713299999</v>
      </c>
      <c r="Q3" s="10">
        <f>Test!G1</f>
        <v>37.718219041799998</v>
      </c>
      <c r="R3" s="11">
        <f t="shared" ref="R3:R34" si="1">P3/3600</f>
        <v>21.941164642583335</v>
      </c>
      <c r="S3" s="10">
        <f t="shared" ref="S3:S34" si="2">P3/H3</f>
        <v>0.98731204836241149</v>
      </c>
      <c r="T3" s="10">
        <f t="shared" ref="T3:T34" si="3">Q3/I3</f>
        <v>0.99084161401099913</v>
      </c>
      <c r="U3" s="47"/>
      <c r="V3" s="30">
        <f>bdrate($D3:$D6,E3:E6,$L3:$L6,M3:M6)</f>
        <v>-7.8762876576377039E-7</v>
      </c>
      <c r="W3" s="35">
        <f>bdrate($D3:$D6,F3:F6,$L3:$L6,N3:N6)</f>
        <v>-8.2987441285542474E-7</v>
      </c>
      <c r="X3" s="36">
        <f>bdrate($D3:$D6,G3:G6,$L3:$L6,O3:O6)</f>
        <v>-7.9708355882335269E-7</v>
      </c>
      <c r="Y3" s="30">
        <f>bdrateOld($D3:$D6,E3:E6,$L3:$L6,M3:M6)</f>
        <v>-8.0689126003008482E-7</v>
      </c>
      <c r="Z3" s="35">
        <f>bdrateOld($D3:$D6,F3:F6,$L3:$L6,N3:N6)</f>
        <v>-9.177053341691277E-7</v>
      </c>
      <c r="AA3" s="36">
        <f>bdrateOld($D3:$D6,G3:G6,$L3:$L6,O3:O6)</f>
        <v>-7.682467759728695E-7</v>
      </c>
    </row>
    <row r="4" spans="1:27" x14ac:dyDescent="0.2">
      <c r="A4" s="25" t="s">
        <v>95</v>
      </c>
      <c r="B4" s="25"/>
      <c r="C4" s="25">
        <v>27</v>
      </c>
      <c r="D4" s="12">
        <f>Reference!B2</f>
        <v>5692.1854000000003</v>
      </c>
      <c r="E4" s="13">
        <f>Reference!C2</f>
        <v>40.234900000000003</v>
      </c>
      <c r="F4" s="13">
        <f>Reference!D2</f>
        <v>48.504600000000003</v>
      </c>
      <c r="G4" s="13">
        <f>Reference!E2</f>
        <v>46.674500000000002</v>
      </c>
      <c r="H4" s="13">
        <f>Reference!F2</f>
        <v>30051.940204899998</v>
      </c>
      <c r="I4" s="13">
        <f>Reference!G2</f>
        <v>29.842895984599998</v>
      </c>
      <c r="J4" s="14">
        <f t="shared" si="0"/>
        <v>8.3477611680277768</v>
      </c>
      <c r="L4" s="12">
        <f>Test!B2</f>
        <v>5692.1822000000002</v>
      </c>
      <c r="M4" s="13">
        <f>Test!C2</f>
        <v>40.234900000000003</v>
      </c>
      <c r="N4" s="13">
        <f>Test!D2</f>
        <v>48.504600000000003</v>
      </c>
      <c r="O4" s="13">
        <f>Test!E2</f>
        <v>46.674500000000002</v>
      </c>
      <c r="P4" s="13">
        <f>Test!F2</f>
        <v>29527.811371799999</v>
      </c>
      <c r="Q4" s="13">
        <f>Test!G2</f>
        <v>28.9210410118</v>
      </c>
      <c r="R4" s="14">
        <f t="shared" si="1"/>
        <v>8.2021698255000004</v>
      </c>
      <c r="S4" s="13">
        <f t="shared" si="2"/>
        <v>0.98255923479394713</v>
      </c>
      <c r="T4" s="13">
        <f t="shared" si="3"/>
        <v>0.96910973474974715</v>
      </c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>
        <f>Reference!B3</f>
        <v>3174.6957000000002</v>
      </c>
      <c r="E5" s="13">
        <f>Reference!C3</f>
        <v>39.412300000000002</v>
      </c>
      <c r="F5" s="13">
        <f>Reference!D3</f>
        <v>47.492899999999999</v>
      </c>
      <c r="G5" s="13">
        <f>Reference!E3</f>
        <v>45.246200000000002</v>
      </c>
      <c r="H5" s="13">
        <f>Reference!F3</f>
        <v>10266.7471766</v>
      </c>
      <c r="I5" s="13">
        <f>Reference!G3</f>
        <v>26.704063892400001</v>
      </c>
      <c r="J5" s="14">
        <f t="shared" si="0"/>
        <v>2.8518742157222223</v>
      </c>
      <c r="L5" s="12">
        <f>Test!B3</f>
        <v>3174.6923999999999</v>
      </c>
      <c r="M5" s="13">
        <f>Test!C3</f>
        <v>39.412300000000002</v>
      </c>
      <c r="N5" s="13">
        <f>Test!D3</f>
        <v>47.492899999999999</v>
      </c>
      <c r="O5" s="13">
        <f>Test!E3</f>
        <v>45.246200000000002</v>
      </c>
      <c r="P5" s="13">
        <f>Test!F3</f>
        <v>10179.915727899999</v>
      </c>
      <c r="Q5" s="13">
        <f>Test!G3</f>
        <v>26.078606843900001</v>
      </c>
      <c r="R5" s="14">
        <f t="shared" si="1"/>
        <v>2.8277543688611111</v>
      </c>
      <c r="S5" s="13">
        <f t="shared" si="2"/>
        <v>0.99154245768339289</v>
      </c>
      <c r="T5" s="13">
        <f t="shared" si="3"/>
        <v>0.97657820730881317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>
        <f>Reference!B4</f>
        <v>1898.4519</v>
      </c>
      <c r="E6" s="17">
        <f>Reference!C4</f>
        <v>38.230800000000002</v>
      </c>
      <c r="F6" s="17">
        <f>Reference!D4</f>
        <v>46.530500000000004</v>
      </c>
      <c r="G6" s="17">
        <f>Reference!E4</f>
        <v>43.917499999999997</v>
      </c>
      <c r="H6" s="17">
        <f>Reference!F4</f>
        <v>3514.6739492400002</v>
      </c>
      <c r="I6" s="17">
        <f>Reference!G4</f>
        <v>23.6479208469</v>
      </c>
      <c r="J6" s="18">
        <f t="shared" si="0"/>
        <v>0.97629831923333343</v>
      </c>
      <c r="L6" s="16">
        <f>Test!B4</f>
        <v>1898.4485999999999</v>
      </c>
      <c r="M6" s="17">
        <f>Test!C4</f>
        <v>38.230800000000002</v>
      </c>
      <c r="N6" s="17">
        <f>Test!D4</f>
        <v>46.530500000000004</v>
      </c>
      <c r="O6" s="17">
        <f>Test!E4</f>
        <v>43.917499999999997</v>
      </c>
      <c r="P6" s="17">
        <f>Test!F4</f>
        <v>3508.6332023099999</v>
      </c>
      <c r="Q6" s="17">
        <f>Test!G4</f>
        <v>22.9638698101</v>
      </c>
      <c r="R6" s="18">
        <f t="shared" si="1"/>
        <v>0.97462033397499992</v>
      </c>
      <c r="S6" s="13">
        <f t="shared" si="2"/>
        <v>0.99828127814493106</v>
      </c>
      <c r="T6" s="13">
        <f t="shared" si="3"/>
        <v>0.97107352307085926</v>
      </c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54</v>
      </c>
      <c r="C7" s="24">
        <v>22</v>
      </c>
      <c r="D7" s="9">
        <f>Reference!B5</f>
        <v>15378.51</v>
      </c>
      <c r="E7" s="10">
        <f>Reference!C5</f>
        <v>45.169899999999998</v>
      </c>
      <c r="F7" s="10">
        <f>Reference!D5</f>
        <v>49.698900000000002</v>
      </c>
      <c r="G7" s="10">
        <f>Reference!E5</f>
        <v>50.445599999999999</v>
      </c>
      <c r="H7" s="10">
        <f>Reference!F5</f>
        <v>47464.240342999998</v>
      </c>
      <c r="I7" s="10">
        <f>Reference!G5</f>
        <v>35.700580835300002</v>
      </c>
      <c r="J7" s="11">
        <f t="shared" si="0"/>
        <v>13.184511206388889</v>
      </c>
      <c r="L7" s="9">
        <f>Test!B5</f>
        <v>15378.506799999999</v>
      </c>
      <c r="M7" s="10">
        <f>Test!C5</f>
        <v>45.169899999999998</v>
      </c>
      <c r="N7" s="10">
        <f>Test!D5</f>
        <v>49.698900000000002</v>
      </c>
      <c r="O7" s="10">
        <f>Test!E5</f>
        <v>50.445599999999999</v>
      </c>
      <c r="P7" s="10">
        <f>Test!F5</f>
        <v>47346.567941000001</v>
      </c>
      <c r="Q7" s="10">
        <f>Test!G5</f>
        <v>36.079972982400001</v>
      </c>
      <c r="R7" s="11">
        <f t="shared" si="1"/>
        <v>13.151824428055557</v>
      </c>
      <c r="S7" s="13">
        <f t="shared" si="2"/>
        <v>0.99752081986039098</v>
      </c>
      <c r="T7" s="13">
        <f t="shared" si="3"/>
        <v>1.0106270581100705</v>
      </c>
      <c r="U7" s="48"/>
      <c r="V7" s="30">
        <f>bdrate($D7:$D10,E7:E10,$L7:$L10,M7:M10)</f>
        <v>-5.4448152586594745E-7</v>
      </c>
      <c r="W7" s="35">
        <f>bdrate($D7:$D10,F7:F10,$L7:$L10,N7:N10)</f>
        <v>-4.6524506558398571E-7</v>
      </c>
      <c r="X7" s="35">
        <f>bdrate($D7:$D10,G7:G10,$L7:$L10,O7:O10)</f>
        <v>-4.6932131625432305E-7</v>
      </c>
      <c r="Y7" s="33">
        <f>bdrateOld($D7:$D10,E7:E10,$L7:$L10,M7:M10)</f>
        <v>-5.4657408987690559E-7</v>
      </c>
      <c r="Z7" s="37">
        <f>bdrateOld($D7:$D10,F7:F10,$L7:$L10,N7:N10)</f>
        <v>-4.5494170564097658E-7</v>
      </c>
      <c r="AA7" s="38">
        <f>bdrateOld($D7:$D10,G7:G10,$L7:$L10,O7:O10)</f>
        <v>-4.7414634563036628E-7</v>
      </c>
    </row>
    <row r="8" spans="1:27" x14ac:dyDescent="0.2">
      <c r="A8" s="25"/>
      <c r="B8" s="25"/>
      <c r="C8" s="25">
        <v>27</v>
      </c>
      <c r="D8" s="12">
        <f>Reference!B6</f>
        <v>8790.6237000000001</v>
      </c>
      <c r="E8" s="13">
        <f>Reference!C6</f>
        <v>43.6982</v>
      </c>
      <c r="F8" s="13">
        <f>Reference!D6</f>
        <v>47.5443</v>
      </c>
      <c r="G8" s="13">
        <f>Reference!E6</f>
        <v>48.156100000000002</v>
      </c>
      <c r="H8" s="13">
        <f>Reference!F6</f>
        <v>21752.488772600002</v>
      </c>
      <c r="I8" s="13">
        <f>Reference!G6</f>
        <v>32.961524963400002</v>
      </c>
      <c r="J8" s="14">
        <f t="shared" si="0"/>
        <v>6.0423579923888893</v>
      </c>
      <c r="L8" s="12">
        <f>Test!B6</f>
        <v>8790.6205000000009</v>
      </c>
      <c r="M8" s="13">
        <f>Test!C6</f>
        <v>43.6982</v>
      </c>
      <c r="N8" s="13">
        <f>Test!D6</f>
        <v>47.5443</v>
      </c>
      <c r="O8" s="13">
        <f>Test!E6</f>
        <v>48.156100000000002</v>
      </c>
      <c r="P8" s="13">
        <f>Test!F6</f>
        <v>21500.356043100001</v>
      </c>
      <c r="Q8" s="13">
        <f>Test!G6</f>
        <v>31.5950818062</v>
      </c>
      <c r="R8" s="14">
        <f t="shared" si="1"/>
        <v>5.9723211230833337</v>
      </c>
      <c r="S8" s="13">
        <f t="shared" si="2"/>
        <v>0.98840901691131577</v>
      </c>
      <c r="T8" s="13">
        <f t="shared" si="3"/>
        <v>0.95854429797415985</v>
      </c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>
        <f>Reference!B7</f>
        <v>5275.3783999999996</v>
      </c>
      <c r="E9" s="13">
        <f>Reference!C7</f>
        <v>41.918999999999997</v>
      </c>
      <c r="F9" s="13">
        <f>Reference!D7</f>
        <v>45.791499999999999</v>
      </c>
      <c r="G9" s="13">
        <f>Reference!E7</f>
        <v>46.238</v>
      </c>
      <c r="H9" s="13">
        <f>Reference!F7</f>
        <v>12457.228536799999</v>
      </c>
      <c r="I9" s="13">
        <f>Reference!G7</f>
        <v>29.366851091400001</v>
      </c>
      <c r="J9" s="14">
        <f t="shared" si="0"/>
        <v>3.4603412602222221</v>
      </c>
      <c r="L9" s="12">
        <f>Test!B7</f>
        <v>5275.3752999999997</v>
      </c>
      <c r="M9" s="13">
        <f>Test!C7</f>
        <v>41.918999999999997</v>
      </c>
      <c r="N9" s="13">
        <f>Test!D7</f>
        <v>45.791499999999999</v>
      </c>
      <c r="O9" s="13">
        <f>Test!E7</f>
        <v>46.238</v>
      </c>
      <c r="P9" s="13">
        <f>Test!F7</f>
        <v>12390.8056557</v>
      </c>
      <c r="Q9" s="13">
        <f>Test!G7</f>
        <v>28.546933174100001</v>
      </c>
      <c r="R9" s="14">
        <f t="shared" si="1"/>
        <v>3.4418904599166669</v>
      </c>
      <c r="S9" s="13">
        <f t="shared" si="2"/>
        <v>0.99466792465886145</v>
      </c>
      <c r="T9" s="13">
        <f t="shared" si="3"/>
        <v>0.97208015545323101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>
        <f>Reference!B8</f>
        <v>3150.1183999999998</v>
      </c>
      <c r="E10" s="17">
        <f>Reference!C8</f>
        <v>39.694600000000001</v>
      </c>
      <c r="F10" s="17">
        <f>Reference!D8</f>
        <v>44.419600000000003</v>
      </c>
      <c r="G10" s="17">
        <f>Reference!E8</f>
        <v>44.711100000000002</v>
      </c>
      <c r="H10" s="17">
        <f>Reference!F8</f>
        <v>6087.6561565399998</v>
      </c>
      <c r="I10" s="17">
        <f>Reference!G8</f>
        <v>26.559881925599999</v>
      </c>
      <c r="J10" s="18">
        <f t="shared" si="0"/>
        <v>1.6910155990388889</v>
      </c>
      <c r="L10" s="16">
        <f>Test!B8</f>
        <v>3150.1152999999999</v>
      </c>
      <c r="M10" s="17">
        <f>Test!C8</f>
        <v>39.694600000000001</v>
      </c>
      <c r="N10" s="17">
        <f>Test!D8</f>
        <v>44.419600000000003</v>
      </c>
      <c r="O10" s="17">
        <f>Test!E8</f>
        <v>44.711100000000002</v>
      </c>
      <c r="P10" s="17">
        <f>Test!F8</f>
        <v>6018.2375102100004</v>
      </c>
      <c r="Q10" s="17">
        <f>Test!G8</f>
        <v>25.891524076500001</v>
      </c>
      <c r="R10" s="18">
        <f t="shared" si="1"/>
        <v>1.671732641725</v>
      </c>
      <c r="S10" s="13">
        <f t="shared" si="2"/>
        <v>0.98859681878461181</v>
      </c>
      <c r="T10" s="13">
        <f t="shared" si="3"/>
        <v>0.97483581248696005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56</v>
      </c>
      <c r="C11" s="24">
        <v>22</v>
      </c>
      <c r="D11" s="9">
        <f>Reference!B9</f>
        <v>21433.47</v>
      </c>
      <c r="E11" s="10">
        <f>Reference!C9</f>
        <v>43.234900000000003</v>
      </c>
      <c r="F11" s="10">
        <f>Reference!D9</f>
        <v>45.887799999999999</v>
      </c>
      <c r="G11" s="10">
        <f>Reference!E9</f>
        <v>43.726100000000002</v>
      </c>
      <c r="H11" s="10">
        <f>Reference!F9</f>
        <v>80178.403385199999</v>
      </c>
      <c r="I11" s="10">
        <f>Reference!G9</f>
        <v>44.913727998699997</v>
      </c>
      <c r="J11" s="11">
        <f t="shared" si="0"/>
        <v>22.271778718111111</v>
      </c>
      <c r="L11" s="9">
        <f>Test!B9</f>
        <v>21433.468400000002</v>
      </c>
      <c r="M11" s="10">
        <f>Test!C9</f>
        <v>43.234900000000003</v>
      </c>
      <c r="N11" s="10">
        <f>Test!D9</f>
        <v>45.887799999999999</v>
      </c>
      <c r="O11" s="10">
        <f>Test!E9</f>
        <v>43.726100000000002</v>
      </c>
      <c r="P11" s="10">
        <f>Test!F9</f>
        <v>76460.522056100002</v>
      </c>
      <c r="Q11" s="10">
        <f>Test!G9</f>
        <v>44.2741868496</v>
      </c>
      <c r="R11" s="11">
        <f t="shared" si="1"/>
        <v>21.239033904472223</v>
      </c>
      <c r="S11" s="13">
        <f t="shared" si="2"/>
        <v>0.95362989069215776</v>
      </c>
      <c r="T11" s="13">
        <f t="shared" si="3"/>
        <v>0.98576067546389134</v>
      </c>
      <c r="U11" s="48"/>
      <c r="V11" s="30">
        <f>bdrate($D11:$D14,E11:E14,$L11:$L14,M11:M14)</f>
        <v>-2.7333593799472311E-7</v>
      </c>
      <c r="W11" s="35">
        <f>bdrate($D11:$D14,F11:F14,$L11:$L14,N11:N14)</f>
        <v>-3.0097589931443736E-7</v>
      </c>
      <c r="X11" s="35">
        <f>bdrate($D11:$D14,G11:G14,$L11:$L14,O11:O14)</f>
        <v>-3.1221587004637286E-7</v>
      </c>
      <c r="Y11" s="33">
        <f>bdrateOld($D11:$D14,E11:E14,$L11:$L14,M11:M14)</f>
        <v>-2.8540687013745014E-7</v>
      </c>
      <c r="Z11" s="37">
        <f>bdrateOld($D11:$D14,F11:F14,$L11:$L14,N11:N14)</f>
        <v>-3.0388412675108611E-7</v>
      </c>
      <c r="AA11" s="38">
        <f>bdrateOld($D11:$D14,G11:G14,$L11:$L14,O11:O14)</f>
        <v>-3.2091266999323409E-7</v>
      </c>
    </row>
    <row r="12" spans="1:27" x14ac:dyDescent="0.2">
      <c r="A12" s="25"/>
      <c r="B12" s="25"/>
      <c r="C12" s="25">
        <v>27</v>
      </c>
      <c r="D12" s="12">
        <f>Reference!B10</f>
        <v>8937.7870999999996</v>
      </c>
      <c r="E12" s="13">
        <f>Reference!C10</f>
        <v>39.623199999999997</v>
      </c>
      <c r="F12" s="13">
        <f>Reference!D10</f>
        <v>42.035600000000002</v>
      </c>
      <c r="G12" s="13">
        <f>Reference!E10</f>
        <v>41.6708</v>
      </c>
      <c r="H12" s="13">
        <f>Reference!F10</f>
        <v>48606.231670000001</v>
      </c>
      <c r="I12" s="13">
        <f>Reference!G10</f>
        <v>38.315755128900001</v>
      </c>
      <c r="J12" s="14">
        <f t="shared" si="0"/>
        <v>13.501731019444446</v>
      </c>
      <c r="L12" s="12">
        <f>Test!B10</f>
        <v>8937.7855</v>
      </c>
      <c r="M12" s="13">
        <f>Test!C10</f>
        <v>39.623199999999997</v>
      </c>
      <c r="N12" s="13">
        <f>Test!D10</f>
        <v>42.035600000000002</v>
      </c>
      <c r="O12" s="13">
        <f>Test!E10</f>
        <v>41.6708</v>
      </c>
      <c r="P12" s="13">
        <f>Test!F10</f>
        <v>48169.486576199997</v>
      </c>
      <c r="Q12" s="13">
        <f>Test!G10</f>
        <v>33.851857900600002</v>
      </c>
      <c r="R12" s="14">
        <f t="shared" si="1"/>
        <v>13.380412937833333</v>
      </c>
      <c r="S12" s="13">
        <f t="shared" si="2"/>
        <v>0.99101462757357583</v>
      </c>
      <c r="T12" s="13">
        <f t="shared" si="3"/>
        <v>0.88349708329425392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>
        <f>Reference!B11</f>
        <v>3252.9544999999998</v>
      </c>
      <c r="E13" s="13">
        <f>Reference!C11</f>
        <v>37.311399999999999</v>
      </c>
      <c r="F13" s="13">
        <f>Reference!D11</f>
        <v>39.412700000000001</v>
      </c>
      <c r="G13" s="13">
        <f>Reference!E11</f>
        <v>40.313899999999997</v>
      </c>
      <c r="H13" s="13">
        <f>Reference!F11</f>
        <v>25442.1209872</v>
      </c>
      <c r="I13" s="13">
        <f>Reference!G11</f>
        <v>28.1141359806</v>
      </c>
      <c r="J13" s="14">
        <f t="shared" si="0"/>
        <v>7.0672558297777774</v>
      </c>
      <c r="L13" s="12">
        <f>Test!B11</f>
        <v>3252.9529000000002</v>
      </c>
      <c r="M13" s="13">
        <f>Test!C11</f>
        <v>37.311399999999999</v>
      </c>
      <c r="N13" s="13">
        <f>Test!D11</f>
        <v>39.412700000000001</v>
      </c>
      <c r="O13" s="13">
        <f>Test!E11</f>
        <v>40.313899999999997</v>
      </c>
      <c r="P13" s="13">
        <f>Test!F11</f>
        <v>25102.174824000002</v>
      </c>
      <c r="Q13" s="13">
        <f>Test!G11</f>
        <v>26.920595884299999</v>
      </c>
      <c r="R13" s="14">
        <f t="shared" si="1"/>
        <v>6.9728263400000001</v>
      </c>
      <c r="S13" s="13">
        <f t="shared" si="2"/>
        <v>0.98663845033316888</v>
      </c>
      <c r="T13" s="13">
        <f t="shared" si="3"/>
        <v>0.95754662006601954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>
        <f>Reference!B12</f>
        <v>1754.3045</v>
      </c>
      <c r="E14" s="17">
        <f>Reference!C12</f>
        <v>35.940899999999999</v>
      </c>
      <c r="F14" s="17">
        <f>Reference!D12</f>
        <v>37.466999999999999</v>
      </c>
      <c r="G14" s="17">
        <f>Reference!E12</f>
        <v>39.154000000000003</v>
      </c>
      <c r="H14" s="17">
        <f>Reference!F12</f>
        <v>10546.2651362</v>
      </c>
      <c r="I14" s="17">
        <f>Reference!G12</f>
        <v>23.920691013300001</v>
      </c>
      <c r="J14" s="18">
        <f t="shared" si="0"/>
        <v>2.9295180933888889</v>
      </c>
      <c r="L14" s="16">
        <f>Test!B12</f>
        <v>1754.3028999999999</v>
      </c>
      <c r="M14" s="17">
        <f>Test!C12</f>
        <v>35.940899999999999</v>
      </c>
      <c r="N14" s="17">
        <f>Test!D12</f>
        <v>37.466999999999999</v>
      </c>
      <c r="O14" s="17">
        <f>Test!E12</f>
        <v>39.154000000000003</v>
      </c>
      <c r="P14" s="17">
        <f>Test!F12</f>
        <v>10466.131535</v>
      </c>
      <c r="Q14" s="17">
        <f>Test!G12</f>
        <v>23.810404777500001</v>
      </c>
      <c r="R14" s="18">
        <f t="shared" si="1"/>
        <v>2.9072587597222221</v>
      </c>
      <c r="S14" s="13">
        <f t="shared" si="2"/>
        <v>0.99240170807720918</v>
      </c>
      <c r="T14" s="13">
        <f t="shared" si="3"/>
        <v>0.99538950460341302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11</v>
      </c>
      <c r="B15" s="24" t="s">
        <v>58</v>
      </c>
      <c r="C15" s="24">
        <v>22</v>
      </c>
      <c r="D15" s="9">
        <f>Reference!B13</f>
        <v>33929.606800000001</v>
      </c>
      <c r="E15" s="10">
        <f>Reference!C13</f>
        <v>42.419800000000002</v>
      </c>
      <c r="F15" s="10">
        <f>Reference!D13</f>
        <v>42.516300000000001</v>
      </c>
      <c r="G15" s="10">
        <f>Reference!E13</f>
        <v>44.122399999999999</v>
      </c>
      <c r="H15" s="10">
        <f>Reference!F13</f>
        <v>84447.162260900004</v>
      </c>
      <c r="I15" s="10">
        <f>Reference!G13</f>
        <v>46.068279027899997</v>
      </c>
      <c r="J15" s="11">
        <f t="shared" si="0"/>
        <v>23.457545072472222</v>
      </c>
      <c r="L15" s="9">
        <f>Test!B13</f>
        <v>33929.6037</v>
      </c>
      <c r="M15" s="10">
        <f>Test!C13</f>
        <v>42.419800000000002</v>
      </c>
      <c r="N15" s="10">
        <f>Test!D13</f>
        <v>42.516300000000001</v>
      </c>
      <c r="O15" s="10">
        <f>Test!E13</f>
        <v>44.122399999999999</v>
      </c>
      <c r="P15" s="10">
        <f>Test!F13</f>
        <v>83659.381686299996</v>
      </c>
      <c r="Q15" s="10">
        <f>Test!G13</f>
        <v>46.223879814100002</v>
      </c>
      <c r="R15" s="11">
        <f t="shared" si="1"/>
        <v>23.238717135083331</v>
      </c>
      <c r="S15" s="10">
        <f t="shared" si="2"/>
        <v>0.99067131975179756</v>
      </c>
      <c r="T15" s="10">
        <f t="shared" si="3"/>
        <v>1.0033776123068494</v>
      </c>
      <c r="U15" s="47"/>
      <c r="V15" s="30">
        <f>bdrate($D15:$D18,E15:E18,$L15:$L18,M15:M18)</f>
        <v>-3.5959783073469254E-7</v>
      </c>
      <c r="W15" s="35">
        <f>bdrate($D15:$D18,F15:F18,$L15:$L18,N15:N18)</f>
        <v>-3.5014509580655329E-7</v>
      </c>
      <c r="X15" s="36">
        <f>bdrate($D15:$D18,G15:G18,$L15:$L18,O15:O18)</f>
        <v>-3.6179501383681867E-7</v>
      </c>
      <c r="Y15" s="30">
        <f>bdrateOld($D15:$D18,E15:E18,$L15:$L18,M15:M18)</f>
        <v>-3.5852332325170266E-7</v>
      </c>
      <c r="Z15" s="35">
        <f>bdrateOld($D15:$D18,F15:F18,$L15:$L18,N15:N18)</f>
        <v>-3.2967822682916648E-7</v>
      </c>
      <c r="AA15" s="36">
        <f>bdrateOld($D15:$D18,G15:G18,$L15:$L18,O15:O18)</f>
        <v>-3.8159901616374725E-7</v>
      </c>
    </row>
    <row r="16" spans="1:27" x14ac:dyDescent="0.2">
      <c r="A16" s="25" t="s">
        <v>95</v>
      </c>
      <c r="B16" s="25"/>
      <c r="C16" s="25">
        <v>27</v>
      </c>
      <c r="D16" s="12">
        <f>Reference!B14</f>
        <v>11553.8889</v>
      </c>
      <c r="E16" s="13">
        <f>Reference!C14</f>
        <v>39.894100000000002</v>
      </c>
      <c r="F16" s="13">
        <f>Reference!D14</f>
        <v>41.402999999999999</v>
      </c>
      <c r="G16" s="13">
        <f>Reference!E14</f>
        <v>42.4666</v>
      </c>
      <c r="H16" s="13">
        <f>Reference!F14</f>
        <v>45068.450664999997</v>
      </c>
      <c r="I16" s="13">
        <f>Reference!G14</f>
        <v>35.163889169699999</v>
      </c>
      <c r="J16" s="14">
        <f t="shared" si="0"/>
        <v>12.51901407361111</v>
      </c>
      <c r="L16" s="12">
        <f>Test!B14</f>
        <v>11553.8858</v>
      </c>
      <c r="M16" s="13">
        <f>Test!C14</f>
        <v>39.894100000000002</v>
      </c>
      <c r="N16" s="13">
        <f>Test!D14</f>
        <v>41.402999999999999</v>
      </c>
      <c r="O16" s="13">
        <f>Test!E14</f>
        <v>42.4666</v>
      </c>
      <c r="P16" s="13">
        <f>Test!F14</f>
        <v>44590.3051443</v>
      </c>
      <c r="Q16" s="13">
        <f>Test!G14</f>
        <v>34.021543979599997</v>
      </c>
      <c r="R16" s="14">
        <f t="shared" si="1"/>
        <v>12.386195873416666</v>
      </c>
      <c r="S16" s="13">
        <f t="shared" si="2"/>
        <v>0.98939068209257697</v>
      </c>
      <c r="T16" s="13">
        <f t="shared" si="3"/>
        <v>0.96751368471823251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>
        <f>Reference!B15</f>
        <v>6676.7968000000001</v>
      </c>
      <c r="E17" s="13">
        <f>Reference!C15</f>
        <v>38.529499999999999</v>
      </c>
      <c r="F17" s="13">
        <f>Reference!D15</f>
        <v>40.626399999999997</v>
      </c>
      <c r="G17" s="13">
        <f>Reference!E15</f>
        <v>41.059899999999999</v>
      </c>
      <c r="H17" s="13">
        <f>Reference!F15</f>
        <v>21634.015425900001</v>
      </c>
      <c r="I17" s="13">
        <f>Reference!G15</f>
        <v>30.0716760159</v>
      </c>
      <c r="J17" s="14">
        <f t="shared" si="0"/>
        <v>6.0094487294166665</v>
      </c>
      <c r="L17" s="12">
        <f>Test!B15</f>
        <v>6676.7937000000002</v>
      </c>
      <c r="M17" s="13">
        <f>Test!C15</f>
        <v>38.529499999999999</v>
      </c>
      <c r="N17" s="13">
        <f>Test!D15</f>
        <v>40.626399999999997</v>
      </c>
      <c r="O17" s="13">
        <f>Test!E15</f>
        <v>41.059899999999999</v>
      </c>
      <c r="P17" s="13">
        <f>Test!F15</f>
        <v>21429.644568899999</v>
      </c>
      <c r="Q17" s="13">
        <f>Test!G15</f>
        <v>29.905854940400001</v>
      </c>
      <c r="R17" s="14">
        <f t="shared" si="1"/>
        <v>5.9526790469166668</v>
      </c>
      <c r="S17" s="13">
        <f t="shared" si="2"/>
        <v>0.99055326286051681</v>
      </c>
      <c r="T17" s="13">
        <f t="shared" si="3"/>
        <v>0.99448580533348652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>
        <f>Reference!B16</f>
        <v>3987.5432000000001</v>
      </c>
      <c r="E18" s="17">
        <f>Reference!C16</f>
        <v>36.663699999999999</v>
      </c>
      <c r="F18" s="17">
        <f>Reference!D16</f>
        <v>39.900300000000001</v>
      </c>
      <c r="G18" s="17">
        <f>Reference!E16</f>
        <v>39.830300000000001</v>
      </c>
      <c r="H18" s="17">
        <f>Reference!F16</f>
        <v>10631.4555151</v>
      </c>
      <c r="I18" s="17">
        <f>Reference!G16</f>
        <v>27.051217079200001</v>
      </c>
      <c r="J18" s="18">
        <f t="shared" si="0"/>
        <v>2.9531820875277779</v>
      </c>
      <c r="L18" s="16">
        <f>Test!B16</f>
        <v>3987.54</v>
      </c>
      <c r="M18" s="17">
        <f>Test!C16</f>
        <v>36.663699999999999</v>
      </c>
      <c r="N18" s="17">
        <f>Test!D16</f>
        <v>39.900300000000001</v>
      </c>
      <c r="O18" s="17">
        <f>Test!E16</f>
        <v>39.830300000000001</v>
      </c>
      <c r="P18" s="17">
        <f>Test!F16</f>
        <v>10616.138227199999</v>
      </c>
      <c r="Q18" s="17">
        <f>Test!G16</f>
        <v>25.870052099199999</v>
      </c>
      <c r="R18" s="18">
        <f t="shared" si="1"/>
        <v>2.9489272853333333</v>
      </c>
      <c r="S18" s="13">
        <f t="shared" si="2"/>
        <v>0.99855924827242648</v>
      </c>
      <c r="T18" s="13">
        <f t="shared" si="3"/>
        <v>0.95633597643530011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59</v>
      </c>
      <c r="C19" s="24">
        <v>22</v>
      </c>
      <c r="D19" s="9">
        <f>Reference!B17</f>
        <v>62966.9542</v>
      </c>
      <c r="E19" s="10">
        <f>Reference!C17</f>
        <v>41.378500000000003</v>
      </c>
      <c r="F19" s="10">
        <f>Reference!D17</f>
        <v>46.072200000000002</v>
      </c>
      <c r="G19" s="10">
        <f>Reference!E17</f>
        <v>44.062199999999997</v>
      </c>
      <c r="H19" s="10">
        <f>Reference!F17</f>
        <v>124066.458547</v>
      </c>
      <c r="I19" s="10">
        <f>Reference!G17</f>
        <v>54.512616157499998</v>
      </c>
      <c r="J19" s="11">
        <f t="shared" si="0"/>
        <v>34.462905151944447</v>
      </c>
      <c r="L19" s="9">
        <f>Test!B17</f>
        <v>62966.951099999998</v>
      </c>
      <c r="M19" s="10">
        <f>Test!C17</f>
        <v>41.378500000000003</v>
      </c>
      <c r="N19" s="10">
        <f>Test!D17</f>
        <v>46.072200000000002</v>
      </c>
      <c r="O19" s="10">
        <f>Test!E17</f>
        <v>44.062199999999997</v>
      </c>
      <c r="P19" s="10">
        <f>Test!F17</f>
        <v>121392.165696</v>
      </c>
      <c r="Q19" s="10">
        <f>Test!G17</f>
        <v>53.235498905199996</v>
      </c>
      <c r="R19" s="11">
        <f t="shared" si="1"/>
        <v>33.720046026666665</v>
      </c>
      <c r="S19" s="13">
        <f t="shared" si="2"/>
        <v>0.97844467487570863</v>
      </c>
      <c r="T19" s="13">
        <f t="shared" si="3"/>
        <v>0.97657207923006106</v>
      </c>
      <c r="U19" s="48"/>
      <c r="V19" s="30">
        <f>bdrate($D19:$D22,E19:E22,$L19:$L22,M19:M22)</f>
        <v>-2.8111700833832742E-7</v>
      </c>
      <c r="W19" s="35">
        <f>bdrate($D19:$D22,F19:F22,$L19:$L22,N19:N22)</f>
        <v>-3.715372695056729E-7</v>
      </c>
      <c r="X19" s="35">
        <f>bdrate($D19:$D22,G19:G22,$L19:$L22,O19:O22)</f>
        <v>-3.5434246170584771E-7</v>
      </c>
      <c r="Y19" s="33">
        <f>bdrateOld($D19:$D22,E19:E22,$L19:$L22,M19:M22)</f>
        <v>-2.5743211906625874E-7</v>
      </c>
      <c r="Z19" s="37">
        <f>bdrateOld($D19:$D22,F19:F22,$L19:$L22,N19:N22)</f>
        <v>-3.6459273877742504E-7</v>
      </c>
      <c r="AA19" s="38">
        <f>bdrateOld($D19:$D22,G19:G22,$L19:$L22,O19:O22)</f>
        <v>-3.4455257369447878E-7</v>
      </c>
    </row>
    <row r="20" spans="1:27" x14ac:dyDescent="0.2">
      <c r="A20" s="25"/>
      <c r="B20" s="25"/>
      <c r="C20" s="25">
        <v>27</v>
      </c>
      <c r="D20" s="12">
        <f>Reference!B18</f>
        <v>11917.5363</v>
      </c>
      <c r="E20" s="13">
        <f>Reference!C18</f>
        <v>37.770899999999997</v>
      </c>
      <c r="F20" s="13">
        <f>Reference!D18</f>
        <v>44.832500000000003</v>
      </c>
      <c r="G20" s="13">
        <f>Reference!E18</f>
        <v>42.441099999999999</v>
      </c>
      <c r="H20" s="13">
        <f>Reference!F18</f>
        <v>60105.864838699999</v>
      </c>
      <c r="I20" s="13">
        <f>Reference!G18</f>
        <v>33.9081869125</v>
      </c>
      <c r="J20" s="14">
        <f t="shared" si="0"/>
        <v>16.696073566305554</v>
      </c>
      <c r="L20" s="12">
        <f>Test!B18</f>
        <v>11917.5332</v>
      </c>
      <c r="M20" s="13">
        <f>Test!C18</f>
        <v>37.770899999999997</v>
      </c>
      <c r="N20" s="13">
        <f>Test!D18</f>
        <v>44.832500000000003</v>
      </c>
      <c r="O20" s="13">
        <f>Test!E18</f>
        <v>42.441099999999999</v>
      </c>
      <c r="P20" s="13">
        <f>Test!F18</f>
        <v>59267.414550100002</v>
      </c>
      <c r="Q20" s="13">
        <f>Test!G18</f>
        <v>33.768098115900003</v>
      </c>
      <c r="R20" s="14">
        <f t="shared" si="1"/>
        <v>16.463170708361112</v>
      </c>
      <c r="S20" s="13">
        <f t="shared" si="2"/>
        <v>0.98605044131966058</v>
      </c>
      <c r="T20" s="13">
        <f t="shared" si="3"/>
        <v>0.99586858486531593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>
        <f>Reference!B19</f>
        <v>6395.0415999999996</v>
      </c>
      <c r="E21" s="13">
        <f>Reference!C19</f>
        <v>36.734200000000001</v>
      </c>
      <c r="F21" s="13">
        <f>Reference!D19</f>
        <v>43.776800000000001</v>
      </c>
      <c r="G21" s="13">
        <f>Reference!E19</f>
        <v>41.1404</v>
      </c>
      <c r="H21" s="13">
        <f>Reference!F19</f>
        <v>25970.673244000001</v>
      </c>
      <c r="I21" s="13">
        <f>Reference!G19</f>
        <v>29.384137153600001</v>
      </c>
      <c r="J21" s="14">
        <f t="shared" si="0"/>
        <v>7.2140759011111113</v>
      </c>
      <c r="L21" s="12">
        <f>Test!B19</f>
        <v>6395.0384000000004</v>
      </c>
      <c r="M21" s="13">
        <f>Test!C19</f>
        <v>36.734200000000001</v>
      </c>
      <c r="N21" s="13">
        <f>Test!D19</f>
        <v>43.776800000000001</v>
      </c>
      <c r="O21" s="13">
        <f>Test!E19</f>
        <v>41.1404</v>
      </c>
      <c r="P21" s="13">
        <f>Test!F19</f>
        <v>25792.042243200001</v>
      </c>
      <c r="Q21" s="13">
        <f>Test!G19</f>
        <v>28.426303148300001</v>
      </c>
      <c r="R21" s="14">
        <f t="shared" si="1"/>
        <v>7.1644561786666667</v>
      </c>
      <c r="S21" s="13">
        <f t="shared" si="2"/>
        <v>0.99312181863282001</v>
      </c>
      <c r="T21" s="13">
        <f t="shared" si="3"/>
        <v>0.96740302428166924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>
        <f>Reference!B20</f>
        <v>3566.0479</v>
      </c>
      <c r="E22" s="17">
        <f>Reference!C20</f>
        <v>35.285200000000003</v>
      </c>
      <c r="F22" s="17">
        <f>Reference!D20</f>
        <v>42.874499999999998</v>
      </c>
      <c r="G22" s="17">
        <f>Reference!E20</f>
        <v>40.152099999999997</v>
      </c>
      <c r="H22" s="17">
        <f>Reference!F20</f>
        <v>11669.2465565</v>
      </c>
      <c r="I22" s="17">
        <f>Reference!G20</f>
        <v>25.3334469795</v>
      </c>
      <c r="J22" s="18">
        <f t="shared" si="0"/>
        <v>3.2414573768055557</v>
      </c>
      <c r="L22" s="16">
        <f>Test!B20</f>
        <v>3566.0446999999999</v>
      </c>
      <c r="M22" s="17">
        <f>Test!C20</f>
        <v>35.285200000000003</v>
      </c>
      <c r="N22" s="17">
        <f>Test!D20</f>
        <v>42.874499999999998</v>
      </c>
      <c r="O22" s="17">
        <f>Test!E20</f>
        <v>40.152099999999997</v>
      </c>
      <c r="P22" s="17">
        <f>Test!F20</f>
        <v>11611.464007099999</v>
      </c>
      <c r="Q22" s="17">
        <f>Test!G20</f>
        <v>25.212528943999999</v>
      </c>
      <c r="R22" s="18">
        <f t="shared" si="1"/>
        <v>3.2254066686388887</v>
      </c>
      <c r="S22" s="13">
        <f t="shared" si="2"/>
        <v>0.99504830503664221</v>
      </c>
      <c r="T22" s="13">
        <f t="shared" si="3"/>
        <v>0.99522694106341514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60</v>
      </c>
      <c r="C23" s="24">
        <v>22</v>
      </c>
      <c r="D23" s="9">
        <f>Reference!B21</f>
        <v>49553.126300000004</v>
      </c>
      <c r="E23" s="10">
        <f>Reference!C21</f>
        <v>46.429099999999998</v>
      </c>
      <c r="F23" s="10">
        <f>Reference!D21</f>
        <v>40.703800000000001</v>
      </c>
      <c r="G23" s="10">
        <f>Reference!E21</f>
        <v>41.137500000000003</v>
      </c>
      <c r="H23" s="10">
        <f>Reference!F21</f>
        <v>81812.190383099995</v>
      </c>
      <c r="I23" s="10">
        <f>Reference!G21</f>
        <v>52.790099144000003</v>
      </c>
      <c r="J23" s="11">
        <f t="shared" si="0"/>
        <v>22.725608439749998</v>
      </c>
      <c r="L23" s="9">
        <f>Test!B21</f>
        <v>49553.123699999996</v>
      </c>
      <c r="M23" s="10">
        <f>Test!C21</f>
        <v>46.429099999999998</v>
      </c>
      <c r="N23" s="10">
        <f>Test!D21</f>
        <v>40.703800000000001</v>
      </c>
      <c r="O23" s="10">
        <f>Test!E21</f>
        <v>41.137500000000003</v>
      </c>
      <c r="P23" s="10">
        <f>Test!F21</f>
        <v>80644.687594000003</v>
      </c>
      <c r="Q23" s="10">
        <f>Test!G21</f>
        <v>57.041071176499997</v>
      </c>
      <c r="R23" s="11">
        <f t="shared" si="1"/>
        <v>22.401302109444444</v>
      </c>
      <c r="S23" s="13">
        <f t="shared" si="2"/>
        <v>0.98572947645536746</v>
      </c>
      <c r="T23" s="13">
        <f t="shared" si="3"/>
        <v>1.0805259338669597</v>
      </c>
      <c r="U23" s="48"/>
      <c r="V23" s="30">
        <f>bdrate($D23:$D26,E23:E26,$L23:$L26,M23:M26)</f>
        <v>-1.3841002022285664E-7</v>
      </c>
      <c r="W23" s="35">
        <f>bdrate($D23:$D26,F23:F26,$L23:$L26,N23:N26)</f>
        <v>-1.1995795667907316E-7</v>
      </c>
      <c r="X23" s="35">
        <f>bdrate($D23:$D26,G23:G26,$L23:$L26,O23:O26)</f>
        <v>-1.2011536942857504E-7</v>
      </c>
      <c r="Y23" s="33">
        <f>bdrateOld($D23:$D26,E23:E26,$L23:$L26,M23:M26)</f>
        <v>-1.3864159564835887E-7</v>
      </c>
      <c r="Z23" s="37">
        <f>bdrateOld($D23:$D26,F23:F26,$L23:$L26,N23:N26)</f>
        <v>-1.2298115326103698E-7</v>
      </c>
      <c r="AA23" s="38">
        <f>bdrateOld($D23:$D26,G23:G26,$L23:$L26,O23:O26)</f>
        <v>-1.2159893125751609E-7</v>
      </c>
    </row>
    <row r="24" spans="1:27" x14ac:dyDescent="0.2">
      <c r="A24" s="25"/>
      <c r="B24" s="25"/>
      <c r="C24" s="25">
        <v>27</v>
      </c>
      <c r="D24" s="12">
        <f>Reference!B22</f>
        <v>28029.857899999999</v>
      </c>
      <c r="E24" s="13">
        <f>Reference!C22</f>
        <v>42.5364</v>
      </c>
      <c r="F24" s="13">
        <f>Reference!D22</f>
        <v>36.968000000000004</v>
      </c>
      <c r="G24" s="13">
        <f>Reference!E22</f>
        <v>37.836100000000002</v>
      </c>
      <c r="H24" s="13">
        <f>Reference!F22</f>
        <v>56177.173243500001</v>
      </c>
      <c r="I24" s="13">
        <f>Reference!G22</f>
        <v>46.5376729965</v>
      </c>
      <c r="J24" s="14">
        <f t="shared" si="0"/>
        <v>15.604770345416666</v>
      </c>
      <c r="L24" s="12">
        <f>Test!B22</f>
        <v>28029.855299999999</v>
      </c>
      <c r="M24" s="13">
        <f>Test!C22</f>
        <v>42.5364</v>
      </c>
      <c r="N24" s="13">
        <f>Test!D22</f>
        <v>36.968000000000004</v>
      </c>
      <c r="O24" s="13">
        <f>Test!E22</f>
        <v>37.836100000000002</v>
      </c>
      <c r="P24" s="13">
        <f>Test!F22</f>
        <v>55468.525165999999</v>
      </c>
      <c r="Q24" s="13">
        <f>Test!G22</f>
        <v>48.068490028399999</v>
      </c>
      <c r="R24" s="14">
        <f t="shared" si="1"/>
        <v>15.407923657222222</v>
      </c>
      <c r="S24" s="13">
        <f t="shared" si="2"/>
        <v>0.98738547996303827</v>
      </c>
      <c r="T24" s="13">
        <f t="shared" si="3"/>
        <v>1.0328941464695738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>
        <f>Reference!B23</f>
        <v>15578.617099999999</v>
      </c>
      <c r="E25" s="13">
        <f>Reference!C23</f>
        <v>38.830100000000002</v>
      </c>
      <c r="F25" s="13">
        <f>Reference!D23</f>
        <v>34.429499999999997</v>
      </c>
      <c r="G25" s="13">
        <f>Reference!E23</f>
        <v>35.556899999999999</v>
      </c>
      <c r="H25" s="13">
        <f>Reference!F23</f>
        <v>39001.214288199997</v>
      </c>
      <c r="I25" s="13">
        <f>Reference!G23</f>
        <v>39.829174995400003</v>
      </c>
      <c r="J25" s="14">
        <f t="shared" si="0"/>
        <v>10.83367063561111</v>
      </c>
      <c r="L25" s="12">
        <f>Test!B23</f>
        <v>15578.6145</v>
      </c>
      <c r="M25" s="13">
        <f>Test!C23</f>
        <v>38.830100000000002</v>
      </c>
      <c r="N25" s="13">
        <f>Test!D23</f>
        <v>34.429499999999997</v>
      </c>
      <c r="O25" s="13">
        <f>Test!E23</f>
        <v>35.556899999999999</v>
      </c>
      <c r="P25" s="13">
        <f>Test!F23</f>
        <v>38391.478597399997</v>
      </c>
      <c r="Q25" s="13">
        <f>Test!G23</f>
        <v>39.310624837900001</v>
      </c>
      <c r="R25" s="14">
        <f t="shared" si="1"/>
        <v>10.664299610388888</v>
      </c>
      <c r="S25" s="13">
        <f t="shared" si="2"/>
        <v>0.98436623828441983</v>
      </c>
      <c r="T25" s="13">
        <f t="shared" si="3"/>
        <v>0.98698064527924845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>
        <f>Reference!B24</f>
        <v>8483.1934000000001</v>
      </c>
      <c r="E26" s="17">
        <f>Reference!C24</f>
        <v>35.3977</v>
      </c>
      <c r="F26" s="17">
        <f>Reference!D24</f>
        <v>32.697099999999999</v>
      </c>
      <c r="G26" s="17">
        <f>Reference!E24</f>
        <v>34.020099999999999</v>
      </c>
      <c r="H26" s="17">
        <f>Reference!F24</f>
        <v>23437.958900000001</v>
      </c>
      <c r="I26" s="17">
        <f>Reference!G24</f>
        <v>34.1324360371</v>
      </c>
      <c r="J26" s="18">
        <f t="shared" si="0"/>
        <v>6.5105441388888892</v>
      </c>
      <c r="L26" s="16">
        <f>Test!B24</f>
        <v>8483.1908000000003</v>
      </c>
      <c r="M26" s="17">
        <f>Test!C24</f>
        <v>35.3977</v>
      </c>
      <c r="N26" s="17">
        <f>Test!D24</f>
        <v>32.697099999999999</v>
      </c>
      <c r="O26" s="17">
        <f>Test!E24</f>
        <v>34.020099999999999</v>
      </c>
      <c r="P26" s="17">
        <f>Test!F24</f>
        <v>23263.361091899998</v>
      </c>
      <c r="Q26" s="17">
        <f>Test!G24</f>
        <v>33.715399980500003</v>
      </c>
      <c r="R26" s="18">
        <f t="shared" si="1"/>
        <v>6.4620447477499994</v>
      </c>
      <c r="S26" s="13">
        <f t="shared" si="2"/>
        <v>0.99255063937756105</v>
      </c>
      <c r="T26" s="13">
        <f t="shared" si="3"/>
        <v>0.98778182558822636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12</v>
      </c>
      <c r="B27" s="24" t="s">
        <v>61</v>
      </c>
      <c r="C27" s="24">
        <v>22</v>
      </c>
      <c r="D27" s="9">
        <f>Reference!B25</f>
        <v>10306.184800000001</v>
      </c>
      <c r="E27" s="10">
        <f>Reference!C25</f>
        <v>42.8782</v>
      </c>
      <c r="F27" s="10">
        <f>Reference!D25</f>
        <v>45.1113</v>
      </c>
      <c r="G27" s="10">
        <f>Reference!E25</f>
        <v>45.727200000000003</v>
      </c>
      <c r="H27" s="10">
        <f>Reference!F25</f>
        <v>44214.972228799998</v>
      </c>
      <c r="I27" s="10">
        <f>Reference!G25</f>
        <v>22.7213580608</v>
      </c>
      <c r="J27" s="11">
        <f t="shared" si="0"/>
        <v>12.281936730222222</v>
      </c>
      <c r="L27" s="9">
        <f>Test!B25</f>
        <v>10306.183199999999</v>
      </c>
      <c r="M27" s="10">
        <f>Test!C25</f>
        <v>42.8782</v>
      </c>
      <c r="N27" s="10">
        <f>Test!D25</f>
        <v>45.1113</v>
      </c>
      <c r="O27" s="10">
        <f>Test!E25</f>
        <v>45.727200000000003</v>
      </c>
      <c r="P27" s="10">
        <f>Test!F25</f>
        <v>43523.503646600002</v>
      </c>
      <c r="Q27" s="10">
        <f>Test!G25</f>
        <v>22.080079078699999</v>
      </c>
      <c r="R27" s="11">
        <f t="shared" si="1"/>
        <v>12.089862124055555</v>
      </c>
      <c r="S27" s="10">
        <f t="shared" si="2"/>
        <v>0.98436121188492798</v>
      </c>
      <c r="T27" s="10">
        <f t="shared" si="3"/>
        <v>0.97177637972237374</v>
      </c>
      <c r="U27" s="47"/>
      <c r="V27" s="30">
        <f>bdrate($D27:$D30,E27:E30,$L27:$L30,M27:M30)</f>
        <v>-4.4075136496068978E-7</v>
      </c>
      <c r="W27" s="35">
        <f>bdrate($D27:$D30,F27:F30,$L27:$L30,N27:N30)</f>
        <v>-3.7890493886916232E-7</v>
      </c>
      <c r="X27" s="36">
        <f>bdrate($D27:$D30,G27:G30,$L27:$L30,O27:O30)</f>
        <v>-3.9688323061337627E-7</v>
      </c>
      <c r="Y27" s="30">
        <f>bdrateOld($D27:$D30,E27:E30,$L27:$L30,M27:M30)</f>
        <v>-4.4110148722520393E-7</v>
      </c>
      <c r="Z27" s="35">
        <f>bdrateOld($D27:$D30,F27:F30,$L27:$L30,N27:N30)</f>
        <v>-3.7744367931136225E-7</v>
      </c>
      <c r="AA27" s="36">
        <f>bdrateOld($D27:$D30,G27:G30,$L27:$L30,O27:O30)</f>
        <v>-3.9583303890200483E-7</v>
      </c>
    </row>
    <row r="28" spans="1:27" x14ac:dyDescent="0.2">
      <c r="A28" s="25" t="s">
        <v>96</v>
      </c>
      <c r="B28" s="25"/>
      <c r="C28" s="25">
        <v>27</v>
      </c>
      <c r="D28" s="12">
        <f>Reference!B26</f>
        <v>5547.6607999999997</v>
      </c>
      <c r="E28" s="13">
        <f>Reference!C26</f>
        <v>40.2166</v>
      </c>
      <c r="F28" s="13">
        <f>Reference!D26</f>
        <v>42.966299999999997</v>
      </c>
      <c r="G28" s="13">
        <f>Reference!E26</f>
        <v>43.914400000000001</v>
      </c>
      <c r="H28" s="13">
        <f>Reference!F26</f>
        <v>26417.944782999999</v>
      </c>
      <c r="I28" s="13">
        <f>Reference!G26</f>
        <v>19.126315832100001</v>
      </c>
      <c r="J28" s="14">
        <f t="shared" si="0"/>
        <v>7.3383179952777775</v>
      </c>
      <c r="L28" s="12">
        <f>Test!B26</f>
        <v>5547.6592000000001</v>
      </c>
      <c r="M28" s="13">
        <f>Test!C26</f>
        <v>40.2166</v>
      </c>
      <c r="N28" s="13">
        <f>Test!D26</f>
        <v>42.966299999999997</v>
      </c>
      <c r="O28" s="13">
        <f>Test!E26</f>
        <v>43.914400000000001</v>
      </c>
      <c r="P28" s="13">
        <f>Test!F26</f>
        <v>25632.4799552</v>
      </c>
      <c r="Q28" s="13">
        <f>Test!G26</f>
        <v>18.572690963700001</v>
      </c>
      <c r="R28" s="14">
        <f t="shared" si="1"/>
        <v>7.1201333208888888</v>
      </c>
      <c r="S28" s="13">
        <f t="shared" si="2"/>
        <v>0.97026775420071865</v>
      </c>
      <c r="T28" s="13">
        <f t="shared" si="3"/>
        <v>0.97105428597645327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Reference!B27</f>
        <v>3102.8888000000002</v>
      </c>
      <c r="E29" s="13">
        <f>Reference!C27</f>
        <v>37.729900000000001</v>
      </c>
      <c r="F29" s="13">
        <f>Reference!D27</f>
        <v>41.455100000000002</v>
      </c>
      <c r="G29" s="13">
        <f>Reference!E27</f>
        <v>42.450800000000001</v>
      </c>
      <c r="H29" s="13">
        <f>Reference!F27</f>
        <v>15648.2311931</v>
      </c>
      <c r="I29" s="13">
        <f>Reference!G27</f>
        <v>18.741214036900001</v>
      </c>
      <c r="J29" s="14">
        <f t="shared" si="0"/>
        <v>4.3467308869722228</v>
      </c>
      <c r="L29" s="12">
        <f>Test!B27</f>
        <v>3102.8872000000001</v>
      </c>
      <c r="M29" s="13">
        <f>Test!C27</f>
        <v>37.729900000000001</v>
      </c>
      <c r="N29" s="13">
        <f>Test!D27</f>
        <v>41.455100000000002</v>
      </c>
      <c r="O29" s="13">
        <f>Test!E27</f>
        <v>42.450800000000001</v>
      </c>
      <c r="P29" s="13">
        <f>Test!F27</f>
        <v>15599.695662</v>
      </c>
      <c r="Q29" s="13">
        <f>Test!G27</f>
        <v>16.336686134299999</v>
      </c>
      <c r="R29" s="14">
        <f t="shared" si="1"/>
        <v>4.3332487950000003</v>
      </c>
      <c r="S29" s="13">
        <f t="shared" si="2"/>
        <v>0.99689833755003554</v>
      </c>
      <c r="T29" s="13">
        <f t="shared" si="3"/>
        <v>0.87169839169086527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Reference!B28</f>
        <v>1653.8320000000001</v>
      </c>
      <c r="E30" s="17">
        <f>Reference!C28</f>
        <v>35.127899999999997</v>
      </c>
      <c r="F30" s="17">
        <f>Reference!D28</f>
        <v>40.375100000000003</v>
      </c>
      <c r="G30" s="17">
        <f>Reference!E28</f>
        <v>41.335099999999997</v>
      </c>
      <c r="H30" s="17">
        <f>Reference!F28</f>
        <v>8541.7306818899997</v>
      </c>
      <c r="I30" s="17">
        <f>Reference!G28</f>
        <v>14.7159650326</v>
      </c>
      <c r="J30" s="18">
        <f t="shared" si="0"/>
        <v>2.3727029671916666</v>
      </c>
      <c r="L30" s="16">
        <f>Test!B28</f>
        <v>1653.8304000000001</v>
      </c>
      <c r="M30" s="17">
        <f>Test!C28</f>
        <v>35.127899999999997</v>
      </c>
      <c r="N30" s="17">
        <f>Test!D28</f>
        <v>40.375100000000003</v>
      </c>
      <c r="O30" s="17">
        <f>Test!E28</f>
        <v>41.335099999999997</v>
      </c>
      <c r="P30" s="17">
        <f>Test!F28</f>
        <v>8495.1716036800008</v>
      </c>
      <c r="Q30" s="17">
        <f>Test!G28</f>
        <v>14.1623039246</v>
      </c>
      <c r="R30" s="18">
        <f t="shared" si="1"/>
        <v>2.3597698899111115</v>
      </c>
      <c r="S30" s="13">
        <f t="shared" si="2"/>
        <v>0.99454922193827622</v>
      </c>
      <c r="T30" s="13">
        <f t="shared" si="3"/>
        <v>0.9623768399304099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62</v>
      </c>
      <c r="C31" s="24">
        <v>22</v>
      </c>
      <c r="D31" s="9">
        <f>Reference!B29</f>
        <v>6019.4175999999998</v>
      </c>
      <c r="E31" s="10">
        <f>Reference!C29</f>
        <v>46.006599999999999</v>
      </c>
      <c r="F31" s="10">
        <f>Reference!D29</f>
        <v>48.134599999999999</v>
      </c>
      <c r="G31" s="10">
        <f>Reference!E29</f>
        <v>49.392899999999997</v>
      </c>
      <c r="H31" s="10">
        <f>Reference!F29</f>
        <v>25979.6405854</v>
      </c>
      <c r="I31" s="10">
        <f>Reference!G29</f>
        <v>20.3074331284</v>
      </c>
      <c r="J31" s="11">
        <f t="shared" si="0"/>
        <v>7.2165668292777783</v>
      </c>
      <c r="L31" s="9">
        <f>Test!B29</f>
        <v>6019.4160000000002</v>
      </c>
      <c r="M31" s="10">
        <f>Test!C29</f>
        <v>46.006599999999999</v>
      </c>
      <c r="N31" s="10">
        <f>Test!D29</f>
        <v>48.134599999999999</v>
      </c>
      <c r="O31" s="10">
        <f>Test!E29</f>
        <v>49.392899999999997</v>
      </c>
      <c r="P31" s="10">
        <f>Test!F29</f>
        <v>25695.9014971</v>
      </c>
      <c r="Q31" s="10">
        <f>Test!G29</f>
        <v>22.6658368111</v>
      </c>
      <c r="R31" s="11">
        <f t="shared" si="1"/>
        <v>7.1377504158611114</v>
      </c>
      <c r="S31" s="13">
        <f t="shared" si="2"/>
        <v>0.9890784059399399</v>
      </c>
      <c r="T31" s="13">
        <f t="shared" si="3"/>
        <v>1.1161349968648557</v>
      </c>
      <c r="U31" s="48"/>
      <c r="V31" s="30">
        <f>bdrate($D31:$D34,E31:E34,$L31:$L34,M31:M34)</f>
        <v>-6.9919193690370918E-7</v>
      </c>
      <c r="W31" s="35">
        <f>bdrate($D31:$D34,F31:F34,$L31:$L34,N31:N34)</f>
        <v>-6.0450726369065677E-7</v>
      </c>
      <c r="X31" s="35">
        <f>bdrate($D31:$D34,G31:G34,$L31:$L34,O31:O34)</f>
        <v>-6.2244585063986335E-7</v>
      </c>
      <c r="Y31" s="33">
        <f>bdrateOld($D31:$D34,E31:E34,$L31:$L34,M31:M34)</f>
        <v>-6.9980085737331166E-7</v>
      </c>
      <c r="Z31" s="37">
        <f>bdrateOld($D31:$D34,F31:F34,$L31:$L34,N31:N34)</f>
        <v>-6.1747103163867223E-7</v>
      </c>
      <c r="AA31" s="38">
        <f>bdrateOld($D31:$D34,G31:G34,$L31:$L34,O31:O34)</f>
        <v>-6.3067946964867616E-7</v>
      </c>
    </row>
    <row r="32" spans="1:27" x14ac:dyDescent="0.2">
      <c r="A32" s="25"/>
      <c r="B32" s="25"/>
      <c r="C32" s="25">
        <v>27</v>
      </c>
      <c r="D32" s="12">
        <f>Reference!B30</f>
        <v>3490.3256000000001</v>
      </c>
      <c r="E32" s="13">
        <f>Reference!C30</f>
        <v>43.097999999999999</v>
      </c>
      <c r="F32" s="13">
        <f>Reference!D30</f>
        <v>45.714700000000001</v>
      </c>
      <c r="G32" s="13">
        <f>Reference!E30</f>
        <v>46.792999999999999</v>
      </c>
      <c r="H32" s="13">
        <f>Reference!F30</f>
        <v>16305.828732</v>
      </c>
      <c r="I32" s="13">
        <f>Reference!G30</f>
        <v>17.695698976500001</v>
      </c>
      <c r="J32" s="14">
        <f t="shared" si="0"/>
        <v>4.5293968700000002</v>
      </c>
      <c r="L32" s="12">
        <f>Test!B30</f>
        <v>3490.3240000000001</v>
      </c>
      <c r="M32" s="13">
        <f>Test!C30</f>
        <v>43.097999999999999</v>
      </c>
      <c r="N32" s="13">
        <f>Test!D30</f>
        <v>45.714700000000001</v>
      </c>
      <c r="O32" s="13">
        <f>Test!E30</f>
        <v>46.792999999999999</v>
      </c>
      <c r="P32" s="13">
        <f>Test!F30</f>
        <v>15872.537456</v>
      </c>
      <c r="Q32" s="13">
        <f>Test!G30</f>
        <v>17.328447818800001</v>
      </c>
      <c r="R32" s="14">
        <f t="shared" si="1"/>
        <v>4.409038182222222</v>
      </c>
      <c r="S32" s="13">
        <f t="shared" si="2"/>
        <v>0.97342721531536325</v>
      </c>
      <c r="T32" s="13">
        <f t="shared" si="3"/>
        <v>0.97924630396416035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Reference!B31</f>
        <v>1966.2056</v>
      </c>
      <c r="E33" s="13">
        <f>Reference!C31</f>
        <v>40.095599999999997</v>
      </c>
      <c r="F33" s="13">
        <f>Reference!D31</f>
        <v>43.906300000000002</v>
      </c>
      <c r="G33" s="13">
        <f>Reference!E31</f>
        <v>44.784700000000001</v>
      </c>
      <c r="H33" s="13">
        <f>Reference!F31</f>
        <v>10373.338090200001</v>
      </c>
      <c r="I33" s="13">
        <f>Reference!G31</f>
        <v>16.1814861298</v>
      </c>
      <c r="J33" s="14">
        <f t="shared" si="0"/>
        <v>2.8814828028333337</v>
      </c>
      <c r="L33" s="12">
        <f>Test!B31</f>
        <v>1966.204</v>
      </c>
      <c r="M33" s="13">
        <f>Test!C31</f>
        <v>40.095599999999997</v>
      </c>
      <c r="N33" s="13">
        <f>Test!D31</f>
        <v>43.906300000000002</v>
      </c>
      <c r="O33" s="13">
        <f>Test!E31</f>
        <v>44.784700000000001</v>
      </c>
      <c r="P33" s="13">
        <f>Test!F31</f>
        <v>10320.5588651</v>
      </c>
      <c r="Q33" s="13">
        <f>Test!G31</f>
        <v>14.727458953899999</v>
      </c>
      <c r="R33" s="14">
        <f t="shared" si="1"/>
        <v>2.8668219069722221</v>
      </c>
      <c r="S33" s="13">
        <f t="shared" si="2"/>
        <v>0.9949120307618371</v>
      </c>
      <c r="T33" s="13">
        <f t="shared" si="3"/>
        <v>0.91014254412502638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Reference!B32</f>
        <v>1076.7736</v>
      </c>
      <c r="E34" s="17">
        <f>Reference!C32</f>
        <v>37.110300000000002</v>
      </c>
      <c r="F34" s="17">
        <f>Reference!D32</f>
        <v>42.651699999999998</v>
      </c>
      <c r="G34" s="17">
        <f>Reference!E32</f>
        <v>43.241900000000001</v>
      </c>
      <c r="H34" s="17">
        <f>Reference!F32</f>
        <v>5513.8049807500001</v>
      </c>
      <c r="I34" s="17">
        <f>Reference!G32</f>
        <v>13.7033858299</v>
      </c>
      <c r="J34" s="18">
        <f t="shared" si="0"/>
        <v>1.5316124946527778</v>
      </c>
      <c r="L34" s="16">
        <f>Test!B32</f>
        <v>1076.7719999999999</v>
      </c>
      <c r="M34" s="17">
        <f>Test!C32</f>
        <v>37.110300000000002</v>
      </c>
      <c r="N34" s="17">
        <f>Test!D32</f>
        <v>42.651699999999998</v>
      </c>
      <c r="O34" s="17">
        <f>Test!E32</f>
        <v>43.241900000000001</v>
      </c>
      <c r="P34" s="17">
        <f>Test!F32</f>
        <v>5464.7236814500002</v>
      </c>
      <c r="Q34" s="17">
        <f>Test!G32</f>
        <v>12.804956913</v>
      </c>
      <c r="R34" s="18">
        <f t="shared" si="1"/>
        <v>1.5179788004027779</v>
      </c>
      <c r="S34" s="13">
        <f t="shared" si="2"/>
        <v>0.99109847020862096</v>
      </c>
      <c r="T34" s="13">
        <f t="shared" si="3"/>
        <v>0.93443745012712986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63</v>
      </c>
      <c r="C35" s="24">
        <v>22</v>
      </c>
      <c r="D35" s="9">
        <f>Reference!B33</f>
        <v>12588.0849</v>
      </c>
      <c r="E35" s="10">
        <f>Reference!C33</f>
        <v>41.113500000000002</v>
      </c>
      <c r="F35" s="10">
        <f>Reference!D33</f>
        <v>41.688000000000002</v>
      </c>
      <c r="G35" s="10">
        <f>Reference!E33</f>
        <v>44.309100000000001</v>
      </c>
      <c r="H35" s="10">
        <f>Reference!F33</f>
        <v>49866.000126400002</v>
      </c>
      <c r="I35" s="10">
        <f>Reference!G33</f>
        <v>23.434611082100002</v>
      </c>
      <c r="J35" s="11">
        <f t="shared" ref="J35:J66" si="4">H35/3600</f>
        <v>13.851666701777779</v>
      </c>
      <c r="L35" s="9">
        <f>Test!B33</f>
        <v>12588.0833</v>
      </c>
      <c r="M35" s="10">
        <f>Test!C33</f>
        <v>41.113500000000002</v>
      </c>
      <c r="N35" s="10">
        <f>Test!D33</f>
        <v>41.688000000000002</v>
      </c>
      <c r="O35" s="10">
        <f>Test!E33</f>
        <v>44.309100000000001</v>
      </c>
      <c r="P35" s="10">
        <f>Test!F33</f>
        <v>49112.591607800001</v>
      </c>
      <c r="Q35" s="10">
        <f>Test!G33</f>
        <v>22.522562980699998</v>
      </c>
      <c r="R35" s="11">
        <f t="shared" ref="R35:R66" si="5">P35/3600</f>
        <v>13.642386557722222</v>
      </c>
      <c r="S35" s="13">
        <f t="shared" ref="S35:S66" si="6">P35/H35</f>
        <v>0.98489133845324939</v>
      </c>
      <c r="T35" s="13">
        <f t="shared" ref="T35:T66" si="7">Q35/I35</f>
        <v>0.96108115051686727</v>
      </c>
      <c r="U35" s="48"/>
      <c r="V35" s="30">
        <f>bdrate($D35:$D38,E35:E38,$L35:$L38,M35:M38)</f>
        <v>-4.3391313830909439E-7</v>
      </c>
      <c r="W35" s="35">
        <f>bdrate($D35:$D38,F35:F38,$L35:$L38,N35:N38)</f>
        <v>-3.4371734369820217E-7</v>
      </c>
      <c r="X35" s="35">
        <f>bdrate($D35:$D38,G35:G38,$L35:$L38,O35:O38)</f>
        <v>-4.0103831511206778E-7</v>
      </c>
      <c r="Y35" s="33">
        <f>bdrateOld($D35:$D38,E35:E38,$L35:$L38,M35:M38)</f>
        <v>-4.3463706411728253E-7</v>
      </c>
      <c r="Z35" s="37">
        <f>bdrateOld($D35:$D38,F35:F38,$L35:$L38,N35:N38)</f>
        <v>-3.9940466145527154E-7</v>
      </c>
      <c r="AA35" s="38">
        <f>bdrateOld($D35:$D38,G35:G38,$L35:$L38,O35:O38)</f>
        <v>-4.09397351797125E-7</v>
      </c>
    </row>
    <row r="36" spans="1:27" x14ac:dyDescent="0.2">
      <c r="A36" s="25"/>
      <c r="B36" s="25"/>
      <c r="C36" s="25">
        <v>27</v>
      </c>
      <c r="D36" s="12">
        <f>Reference!B34</f>
        <v>5499.7372999999998</v>
      </c>
      <c r="E36" s="13">
        <f>Reference!C34</f>
        <v>38.236899999999999</v>
      </c>
      <c r="F36" s="13">
        <f>Reference!D34</f>
        <v>39.571399999999997</v>
      </c>
      <c r="G36" s="13">
        <f>Reference!E34</f>
        <v>42.311500000000002</v>
      </c>
      <c r="H36" s="13">
        <f>Reference!F34</f>
        <v>30449.840260699999</v>
      </c>
      <c r="I36" s="13">
        <f>Reference!G34</f>
        <v>17.9625279903</v>
      </c>
      <c r="J36" s="14">
        <f t="shared" si="4"/>
        <v>8.4582889613055556</v>
      </c>
      <c r="L36" s="12">
        <f>Test!B34</f>
        <v>5499.7357000000002</v>
      </c>
      <c r="M36" s="13">
        <f>Test!C34</f>
        <v>38.236899999999999</v>
      </c>
      <c r="N36" s="13">
        <f>Test!D34</f>
        <v>39.571399999999997</v>
      </c>
      <c r="O36" s="13">
        <f>Test!E34</f>
        <v>42.311500000000002</v>
      </c>
      <c r="P36" s="13">
        <f>Test!F34</f>
        <v>29946.858771800002</v>
      </c>
      <c r="Q36" s="13">
        <f>Test!G34</f>
        <v>17.402921915099999</v>
      </c>
      <c r="R36" s="14">
        <f t="shared" si="5"/>
        <v>8.318571881055556</v>
      </c>
      <c r="S36" s="13">
        <f t="shared" si="6"/>
        <v>0.98348163784789477</v>
      </c>
      <c r="T36" s="13">
        <f t="shared" si="7"/>
        <v>0.96884591770700668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Reference!B35</f>
        <v>2973.3762000000002</v>
      </c>
      <c r="E37" s="13">
        <f>Reference!C35</f>
        <v>36.089399999999998</v>
      </c>
      <c r="F37" s="13">
        <f>Reference!D35</f>
        <v>38.625300000000003</v>
      </c>
      <c r="G37" s="13">
        <f>Reference!E35</f>
        <v>40.730899999999998</v>
      </c>
      <c r="H37" s="13">
        <f>Reference!F35</f>
        <v>17619.571263999998</v>
      </c>
      <c r="I37" s="13">
        <f>Reference!G35</f>
        <v>15.270685911199999</v>
      </c>
      <c r="J37" s="14">
        <f t="shared" si="4"/>
        <v>4.8943253511111102</v>
      </c>
      <c r="L37" s="12">
        <f>Test!B35</f>
        <v>2973.3746000000001</v>
      </c>
      <c r="M37" s="13">
        <f>Test!C35</f>
        <v>36.089399999999998</v>
      </c>
      <c r="N37" s="13">
        <f>Test!D35</f>
        <v>38.625300000000003</v>
      </c>
      <c r="O37" s="13">
        <f>Test!E35</f>
        <v>40.730899999999998</v>
      </c>
      <c r="P37" s="13">
        <f>Test!F35</f>
        <v>17223.125217199999</v>
      </c>
      <c r="Q37" s="13">
        <f>Test!G35</f>
        <v>15.588867902800001</v>
      </c>
      <c r="R37" s="14">
        <f t="shared" si="5"/>
        <v>4.7842014492222216</v>
      </c>
      <c r="S37" s="13">
        <f t="shared" si="6"/>
        <v>0.9774996768729548</v>
      </c>
      <c r="T37" s="13">
        <f t="shared" si="7"/>
        <v>1.0208361296571908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Reference!B36</f>
        <v>1603.7143000000001</v>
      </c>
      <c r="E38" s="17">
        <f>Reference!C36</f>
        <v>33.707099999999997</v>
      </c>
      <c r="F38" s="17">
        <f>Reference!D36</f>
        <v>37.854300000000002</v>
      </c>
      <c r="G38" s="17">
        <f>Reference!E36</f>
        <v>39.521599999999999</v>
      </c>
      <c r="H38" s="17">
        <f>Reference!F36</f>
        <v>9629.8300085299998</v>
      </c>
      <c r="I38" s="17">
        <f>Reference!G36</f>
        <v>12.773324966400001</v>
      </c>
      <c r="J38" s="18">
        <f t="shared" si="4"/>
        <v>2.6749527801472222</v>
      </c>
      <c r="L38" s="16">
        <f>Test!B36</f>
        <v>1603.7127</v>
      </c>
      <c r="M38" s="17">
        <f>Test!C36</f>
        <v>33.707099999999997</v>
      </c>
      <c r="N38" s="17">
        <f>Test!D36</f>
        <v>37.854300000000002</v>
      </c>
      <c r="O38" s="17">
        <f>Test!E36</f>
        <v>39.521599999999999</v>
      </c>
      <c r="P38" s="17">
        <f>Test!F36</f>
        <v>9602.8832640500004</v>
      </c>
      <c r="Q38" s="17">
        <f>Test!G36</f>
        <v>12.528939962400001</v>
      </c>
      <c r="R38" s="18">
        <f t="shared" si="5"/>
        <v>2.6674675733472224</v>
      </c>
      <c r="S38" s="13">
        <f t="shared" si="6"/>
        <v>0.99720174245483773</v>
      </c>
      <c r="T38" s="13">
        <f t="shared" si="7"/>
        <v>0.98086754978497381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68</v>
      </c>
      <c r="C39" s="24">
        <v>22</v>
      </c>
      <c r="D39" s="9">
        <f>Reference!B37</f>
        <v>7974.2968000000001</v>
      </c>
      <c r="E39" s="10">
        <f>Reference!C37</f>
        <v>41.4191</v>
      </c>
      <c r="F39" s="10">
        <f>Reference!D37</f>
        <v>44.644500000000001</v>
      </c>
      <c r="G39" s="10">
        <f>Reference!E37</f>
        <v>46.535899999999998</v>
      </c>
      <c r="H39" s="10">
        <f>Reference!F37</f>
        <v>39690.008478199998</v>
      </c>
      <c r="I39" s="10">
        <f>Reference!G37</f>
        <v>20.030662059800001</v>
      </c>
      <c r="J39" s="11">
        <f t="shared" si="4"/>
        <v>11.025002355055555</v>
      </c>
      <c r="L39" s="9">
        <f>Test!B37</f>
        <v>7974.2951999999996</v>
      </c>
      <c r="M39" s="10">
        <f>Test!C37</f>
        <v>41.4191</v>
      </c>
      <c r="N39" s="10">
        <f>Test!D37</f>
        <v>44.644500000000001</v>
      </c>
      <c r="O39" s="10">
        <f>Test!E37</f>
        <v>46.535899999999998</v>
      </c>
      <c r="P39" s="10">
        <f>Test!F37</f>
        <v>39155.223195300001</v>
      </c>
      <c r="Q39" s="10">
        <f>Test!G37</f>
        <v>19.070324897799999</v>
      </c>
      <c r="R39" s="11">
        <f t="shared" si="5"/>
        <v>10.876450887583333</v>
      </c>
      <c r="S39" s="13">
        <f t="shared" si="6"/>
        <v>0.9865259468716483</v>
      </c>
      <c r="T39" s="13">
        <f t="shared" si="7"/>
        <v>0.9520566440024304</v>
      </c>
      <c r="U39" s="48"/>
      <c r="V39" s="30">
        <f>bdrate($D39:$D42,E39:E42,$L39:$L42,M39:M42)</f>
        <v>-7.3552449231240047E-7</v>
      </c>
      <c r="W39" s="35">
        <f>bdrate($D39:$D42,F39:F42,$L39:$L42,N39:N42)</f>
        <v>-7.3169998615618681E-7</v>
      </c>
      <c r="X39" s="35">
        <f>bdrate($D39:$D42,G39:G42,$L39:$L42,O39:O42)</f>
        <v>-7.1810615775991238E-7</v>
      </c>
      <c r="Y39" s="33">
        <f>bdrateOld($D39:$D42,E39:E42,$L39:$L42,M39:M42)</f>
        <v>-7.3186573235073382E-7</v>
      </c>
      <c r="Z39" s="37">
        <f>bdrateOld($D39:$D42,F39:F42,$L39:$L42,N39:N42)</f>
        <v>-6.0958944458899822E-7</v>
      </c>
      <c r="AA39" s="38">
        <f>bdrateOld($D39:$D42,G39:G42,$L39:$L42,O39:O42)</f>
        <v>-7.2951381224761747E-7</v>
      </c>
    </row>
    <row r="40" spans="1:27" x14ac:dyDescent="0.2">
      <c r="A40" s="25"/>
      <c r="B40" s="25"/>
      <c r="C40" s="25">
        <v>27</v>
      </c>
      <c r="D40" s="12">
        <f>Reference!B38</f>
        <v>3268.9683</v>
      </c>
      <c r="E40" s="13">
        <f>Reference!C38</f>
        <v>39.005600000000001</v>
      </c>
      <c r="F40" s="13">
        <f>Reference!D38</f>
        <v>43.322400000000002</v>
      </c>
      <c r="G40" s="13">
        <f>Reference!E38</f>
        <v>44.512099999999997</v>
      </c>
      <c r="H40" s="13">
        <f>Reference!F38</f>
        <v>22944.0962086</v>
      </c>
      <c r="I40" s="13">
        <f>Reference!G38</f>
        <v>15.7341938019</v>
      </c>
      <c r="J40" s="14">
        <f t="shared" si="4"/>
        <v>6.3733600579444447</v>
      </c>
      <c r="L40" s="12">
        <f>Test!B38</f>
        <v>3268.9666999999999</v>
      </c>
      <c r="M40" s="13">
        <f>Test!C38</f>
        <v>39.005600000000001</v>
      </c>
      <c r="N40" s="13">
        <f>Test!D38</f>
        <v>43.322400000000002</v>
      </c>
      <c r="O40" s="13">
        <f>Test!E38</f>
        <v>44.512099999999997</v>
      </c>
      <c r="P40" s="13">
        <f>Test!F38</f>
        <v>22713.379674899999</v>
      </c>
      <c r="Q40" s="13">
        <f>Test!G38</f>
        <v>14.9385919571</v>
      </c>
      <c r="R40" s="14">
        <f t="shared" si="5"/>
        <v>6.3092721319166669</v>
      </c>
      <c r="S40" s="13">
        <f t="shared" si="6"/>
        <v>0.98994440523599603</v>
      </c>
      <c r="T40" s="13">
        <f t="shared" si="7"/>
        <v>0.94943485158394791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Reference!B39</f>
        <v>1676.2897</v>
      </c>
      <c r="E41" s="13">
        <f>Reference!C39</f>
        <v>37.306100000000001</v>
      </c>
      <c r="F41" s="13">
        <f>Reference!D39</f>
        <v>42.137</v>
      </c>
      <c r="G41" s="13">
        <f>Reference!E39</f>
        <v>42.753900000000002</v>
      </c>
      <c r="H41" s="13">
        <f>Reference!F39</f>
        <v>11251.091253299999</v>
      </c>
      <c r="I41" s="13">
        <f>Reference!G39</f>
        <v>13.2995491028</v>
      </c>
      <c r="J41" s="14">
        <f t="shared" si="4"/>
        <v>3.1253031259166666</v>
      </c>
      <c r="L41" s="12">
        <f>Test!B39</f>
        <v>1676.2881</v>
      </c>
      <c r="M41" s="13">
        <f>Test!C39</f>
        <v>37.306100000000001</v>
      </c>
      <c r="N41" s="13">
        <f>Test!D39</f>
        <v>42.137</v>
      </c>
      <c r="O41" s="13">
        <f>Test!E39</f>
        <v>42.753900000000002</v>
      </c>
      <c r="P41" s="13">
        <f>Test!F39</f>
        <v>11240.942799599999</v>
      </c>
      <c r="Q41" s="13">
        <f>Test!G39</f>
        <v>12.928756952300001</v>
      </c>
      <c r="R41" s="14">
        <f t="shared" si="5"/>
        <v>3.1224841109999999</v>
      </c>
      <c r="S41" s="13">
        <f t="shared" si="6"/>
        <v>0.9990980027206674</v>
      </c>
      <c r="T41" s="13">
        <f t="shared" si="7"/>
        <v>0.97211994574899263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Reference!B40</f>
        <v>934.63329999999996</v>
      </c>
      <c r="E42" s="17">
        <f>Reference!C40</f>
        <v>35.433599999999998</v>
      </c>
      <c r="F42" s="17">
        <f>Reference!D40</f>
        <v>41.123699999999999</v>
      </c>
      <c r="G42" s="17">
        <f>Reference!E40</f>
        <v>41.316299999999998</v>
      </c>
      <c r="H42" s="17">
        <f>Reference!F40</f>
        <v>5358.3621320700004</v>
      </c>
      <c r="I42" s="17">
        <f>Reference!G40</f>
        <v>11.473604917499999</v>
      </c>
      <c r="J42" s="18">
        <f t="shared" si="4"/>
        <v>1.4884339255750001</v>
      </c>
      <c r="L42" s="16">
        <f>Test!B40</f>
        <v>934.63170000000002</v>
      </c>
      <c r="M42" s="17">
        <f>Test!C40</f>
        <v>35.433599999999998</v>
      </c>
      <c r="N42" s="17">
        <f>Test!D40</f>
        <v>41.123699999999999</v>
      </c>
      <c r="O42" s="17">
        <f>Test!E40</f>
        <v>41.316299999999998</v>
      </c>
      <c r="P42" s="17">
        <f>Test!F40</f>
        <v>5332.8672385199998</v>
      </c>
      <c r="Q42" s="17">
        <f>Test!G40</f>
        <v>11.011031150799999</v>
      </c>
      <c r="R42" s="18">
        <f t="shared" si="5"/>
        <v>1.4813520107</v>
      </c>
      <c r="S42" s="13">
        <f t="shared" si="6"/>
        <v>0.99524203610700135</v>
      </c>
      <c r="T42" s="13">
        <f t="shared" si="7"/>
        <v>0.95968365914408782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69</v>
      </c>
      <c r="C43" s="24">
        <v>22</v>
      </c>
      <c r="D43" s="9">
        <f>Reference!B41</f>
        <v>21305.599999999999</v>
      </c>
      <c r="E43" s="10">
        <f>Reference!C41</f>
        <v>42.406199999999998</v>
      </c>
      <c r="F43" s="10">
        <f>Reference!D41</f>
        <v>42.801900000000003</v>
      </c>
      <c r="G43" s="10">
        <f>Reference!E41</f>
        <v>44.631999999999998</v>
      </c>
      <c r="H43" s="10">
        <f>Reference!F41</f>
        <v>34780.461373099999</v>
      </c>
      <c r="I43" s="10">
        <f>Reference!G41</f>
        <v>29.504936933500002</v>
      </c>
      <c r="J43" s="11">
        <f t="shared" si="4"/>
        <v>9.6612392703055558</v>
      </c>
      <c r="L43" s="9">
        <f>Test!B41</f>
        <v>21305.598399999999</v>
      </c>
      <c r="M43" s="10">
        <f>Test!C41</f>
        <v>42.406199999999998</v>
      </c>
      <c r="N43" s="10">
        <f>Test!D41</f>
        <v>42.801900000000003</v>
      </c>
      <c r="O43" s="10">
        <f>Test!E41</f>
        <v>44.631999999999998</v>
      </c>
      <c r="P43" s="10">
        <f>Test!F41</f>
        <v>34420.473758200002</v>
      </c>
      <c r="Q43" s="10">
        <f>Test!G41</f>
        <v>29.099178075800001</v>
      </c>
      <c r="R43" s="11">
        <f t="shared" si="5"/>
        <v>9.5612427106111113</v>
      </c>
      <c r="S43" s="13">
        <f t="shared" si="6"/>
        <v>0.98964971709149263</v>
      </c>
      <c r="T43" s="13">
        <f t="shared" si="7"/>
        <v>0.98624776393813263</v>
      </c>
      <c r="U43" s="48"/>
      <c r="V43" s="30">
        <f>bdrate($D43:$D46,E43:E46,$L43:$L46,M43:M46)</f>
        <v>-2.3132061022224093E-7</v>
      </c>
      <c r="W43" s="35">
        <f>bdrate($D43:$D46,F43:F46,$L43:$L46,N43:N46)</f>
        <v>-2.4350336125245065E-7</v>
      </c>
      <c r="X43" s="35">
        <f>bdrate($D43:$D46,G43:G46,$L43:$L46,O43:O46)</f>
        <v>-2.4801621578696142E-7</v>
      </c>
      <c r="Y43" s="33">
        <f>bdrateOld($D43:$D46,E43:E46,$L43:$L46,M43:M46)</f>
        <v>-2.3454540110101618E-7</v>
      </c>
      <c r="Z43" s="37">
        <f>bdrateOld($D43:$D46,F43:F46,$L43:$L46,N43:N46)</f>
        <v>-2.4892120475961121E-7</v>
      </c>
      <c r="AA43" s="38">
        <f>bdrateOld($D43:$D46,G43:G46,$L43:$L46,O43:O46)</f>
        <v>-2.5397519720637973E-7</v>
      </c>
    </row>
    <row r="44" spans="1:27" x14ac:dyDescent="0.2">
      <c r="A44" s="25"/>
      <c r="B44" s="25"/>
      <c r="C44" s="25">
        <v>27</v>
      </c>
      <c r="D44" s="12">
        <f>Reference!B42</f>
        <v>9139.6823999999997</v>
      </c>
      <c r="E44" s="13">
        <f>Reference!C42</f>
        <v>37.323999999999998</v>
      </c>
      <c r="F44" s="13">
        <f>Reference!D42</f>
        <v>41.021000000000001</v>
      </c>
      <c r="G44" s="13">
        <f>Reference!E42</f>
        <v>43.276499999999999</v>
      </c>
      <c r="H44" s="13">
        <f>Reference!F42</f>
        <v>39153.024084600002</v>
      </c>
      <c r="I44" s="13">
        <f>Reference!G42</f>
        <v>21.944213867199998</v>
      </c>
      <c r="J44" s="14">
        <f t="shared" si="4"/>
        <v>10.8758400235</v>
      </c>
      <c r="L44" s="12">
        <f>Test!B42</f>
        <v>9139.6808000000001</v>
      </c>
      <c r="M44" s="13">
        <f>Test!C42</f>
        <v>37.323999999999998</v>
      </c>
      <c r="N44" s="13">
        <f>Test!D42</f>
        <v>41.021000000000001</v>
      </c>
      <c r="O44" s="13">
        <f>Test!E42</f>
        <v>43.276499999999999</v>
      </c>
      <c r="P44" s="13">
        <f>Test!F42</f>
        <v>38708.885942000001</v>
      </c>
      <c r="Q44" s="13">
        <f>Test!G42</f>
        <v>20.555022001299999</v>
      </c>
      <c r="R44" s="14">
        <f t="shared" si="5"/>
        <v>10.752468317222222</v>
      </c>
      <c r="S44" s="13">
        <f t="shared" si="6"/>
        <v>0.98865635150837061</v>
      </c>
      <c r="T44" s="13">
        <f t="shared" si="7"/>
        <v>0.93669438904000002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Reference!B43</f>
        <v>4590.5824000000002</v>
      </c>
      <c r="E45" s="13">
        <f>Reference!C43</f>
        <v>34.846600000000002</v>
      </c>
      <c r="F45" s="13">
        <f>Reference!D43</f>
        <v>39.712000000000003</v>
      </c>
      <c r="G45" s="13">
        <f>Reference!E43</f>
        <v>42.260300000000001</v>
      </c>
      <c r="H45" s="13">
        <f>Reference!F43</f>
        <v>25121.731372099999</v>
      </c>
      <c r="I45" s="13">
        <f>Reference!G43</f>
        <v>19.2366220951</v>
      </c>
      <c r="J45" s="14">
        <f t="shared" si="4"/>
        <v>6.9782587144722221</v>
      </c>
      <c r="L45" s="12">
        <f>Test!B43</f>
        <v>4590.5807999999997</v>
      </c>
      <c r="M45" s="13">
        <f>Test!C43</f>
        <v>34.846600000000002</v>
      </c>
      <c r="N45" s="13">
        <f>Test!D43</f>
        <v>39.712000000000003</v>
      </c>
      <c r="O45" s="13">
        <f>Test!E43</f>
        <v>42.260300000000001</v>
      </c>
      <c r="P45" s="13">
        <f>Test!F43</f>
        <v>24910.800087200001</v>
      </c>
      <c r="Q45" s="13">
        <f>Test!G43</f>
        <v>16.569571018200001</v>
      </c>
      <c r="R45" s="14">
        <f t="shared" si="5"/>
        <v>6.9196666908888895</v>
      </c>
      <c r="S45" s="13">
        <f t="shared" si="6"/>
        <v>0.99160363265669438</v>
      </c>
      <c r="T45" s="13">
        <f t="shared" si="7"/>
        <v>0.86135554029626871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Reference!B44</f>
        <v>2445.9056</v>
      </c>
      <c r="E46" s="17">
        <f>Reference!C44</f>
        <v>32.494100000000003</v>
      </c>
      <c r="F46" s="17">
        <f>Reference!D44</f>
        <v>38.7821</v>
      </c>
      <c r="G46" s="17">
        <f>Reference!E44</f>
        <v>41.500999999999998</v>
      </c>
      <c r="H46" s="17">
        <f>Reference!F44</f>
        <v>14826.0361183</v>
      </c>
      <c r="I46" s="17">
        <f>Reference!G44</f>
        <v>14.928467035300001</v>
      </c>
      <c r="J46" s="18">
        <f t="shared" si="4"/>
        <v>4.1183433661944449</v>
      </c>
      <c r="L46" s="16">
        <f>Test!B44</f>
        <v>2445.904</v>
      </c>
      <c r="M46" s="17">
        <f>Test!C44</f>
        <v>32.494100000000003</v>
      </c>
      <c r="N46" s="17">
        <f>Test!D44</f>
        <v>38.7821</v>
      </c>
      <c r="O46" s="17">
        <f>Test!E44</f>
        <v>41.500999999999998</v>
      </c>
      <c r="P46" s="17">
        <f>Test!F44</f>
        <v>14606.2476857</v>
      </c>
      <c r="Q46" s="17">
        <f>Test!G44</f>
        <v>14.134889125799999</v>
      </c>
      <c r="R46" s="18">
        <f t="shared" si="5"/>
        <v>4.057291023805556</v>
      </c>
      <c r="S46" s="13">
        <f t="shared" si="6"/>
        <v>0.98517550943176835</v>
      </c>
      <c r="T46" s="13">
        <f t="shared" si="7"/>
        <v>0.94684129940311357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13</v>
      </c>
      <c r="B47" s="24" t="s">
        <v>70</v>
      </c>
      <c r="C47" s="24">
        <v>22</v>
      </c>
      <c r="D47" s="9">
        <f>Reference!B45</f>
        <v>2316.8753999999999</v>
      </c>
      <c r="E47" s="10">
        <f>Reference!C45</f>
        <v>42.359200000000001</v>
      </c>
      <c r="F47" s="10">
        <f>Reference!D45</f>
        <v>43.948399999999999</v>
      </c>
      <c r="G47" s="10">
        <f>Reference!E45</f>
        <v>44.741300000000003</v>
      </c>
      <c r="H47" s="10">
        <f>Reference!F45</f>
        <v>7192.9265251200004</v>
      </c>
      <c r="I47" s="10">
        <f>Reference!G45</f>
        <v>5.2284679412799999</v>
      </c>
      <c r="J47" s="11">
        <f t="shared" si="4"/>
        <v>1.9980351458666668</v>
      </c>
      <c r="L47" s="9">
        <f>Test!B45</f>
        <v>2316.8737999999998</v>
      </c>
      <c r="M47" s="10">
        <f>Test!C45</f>
        <v>42.359200000000001</v>
      </c>
      <c r="N47" s="10">
        <f>Test!D45</f>
        <v>43.948399999999999</v>
      </c>
      <c r="O47" s="10">
        <f>Test!E45</f>
        <v>44.741300000000003</v>
      </c>
      <c r="P47" s="10">
        <f>Test!F45</f>
        <v>7084.6162846099996</v>
      </c>
      <c r="Q47" s="10">
        <f>Test!G45</f>
        <v>5.06887602806</v>
      </c>
      <c r="R47" s="11">
        <f t="shared" si="5"/>
        <v>1.9679489679472222</v>
      </c>
      <c r="S47" s="10">
        <f t="shared" si="6"/>
        <v>0.98494211776920748</v>
      </c>
      <c r="T47" s="10">
        <f t="shared" si="7"/>
        <v>0.96947635234406171</v>
      </c>
      <c r="U47" s="47"/>
      <c r="V47" s="30">
        <f>bdrate($D47:$D50,E47:E50,$L47:$L50,M47:M50)</f>
        <v>-1.9066107005416555E-6</v>
      </c>
      <c r="W47" s="35">
        <f>bdrate($D47:$D50,F47:F50,$L47:$L50,N47:N50)</f>
        <v>-1.7677283816741607E-6</v>
      </c>
      <c r="X47" s="36">
        <f>bdrate($D47:$D50,G47:G50,$L47:$L50,O47:O50)</f>
        <v>-1.799753649334157E-6</v>
      </c>
      <c r="Y47" s="30">
        <f>bdrateOld($D47:$D50,E47:E50,$L47:$L50,M47:M50)</f>
        <v>-1.9119682000967586E-6</v>
      </c>
      <c r="Z47" s="35">
        <f>bdrateOld($D47:$D50,F47:F50,$L47:$L50,N47:N50)</f>
        <v>-1.7925154093267892E-6</v>
      </c>
      <c r="AA47" s="36">
        <f>bdrateOld($D47:$D50,G47:G50,$L47:$L50,O47:O50)</f>
        <v>-1.8164857957803093E-6</v>
      </c>
    </row>
    <row r="48" spans="1:27" x14ac:dyDescent="0.2">
      <c r="A48" s="25" t="s">
        <v>97</v>
      </c>
      <c r="B48" s="25"/>
      <c r="C48" s="25">
        <v>27</v>
      </c>
      <c r="D48" s="12">
        <f>Reference!B46</f>
        <v>1241.2119</v>
      </c>
      <c r="E48" s="13">
        <f>Reference!C46</f>
        <v>38.942700000000002</v>
      </c>
      <c r="F48" s="13">
        <f>Reference!D46</f>
        <v>41.441000000000003</v>
      </c>
      <c r="G48" s="13">
        <f>Reference!E46</f>
        <v>41.986600000000003</v>
      </c>
      <c r="H48" s="13">
        <f>Reference!F46</f>
        <v>5454.7080986499996</v>
      </c>
      <c r="I48" s="13">
        <f>Reference!G46</f>
        <v>3.8876662254299998</v>
      </c>
      <c r="J48" s="14">
        <f t="shared" si="4"/>
        <v>1.5151966940694443</v>
      </c>
      <c r="L48" s="12">
        <f>Test!B46</f>
        <v>1241.2103</v>
      </c>
      <c r="M48" s="13">
        <f>Test!C46</f>
        <v>38.942700000000002</v>
      </c>
      <c r="N48" s="13">
        <f>Test!D46</f>
        <v>41.441000000000003</v>
      </c>
      <c r="O48" s="13">
        <f>Test!E46</f>
        <v>41.986600000000003</v>
      </c>
      <c r="P48" s="13">
        <f>Test!F46</f>
        <v>5419.8918347400004</v>
      </c>
      <c r="Q48" s="13">
        <f>Test!G46</f>
        <v>4.0295519828800002</v>
      </c>
      <c r="R48" s="14">
        <f t="shared" si="5"/>
        <v>1.5055255096500002</v>
      </c>
      <c r="S48" s="13">
        <f t="shared" si="6"/>
        <v>0.9936172086057885</v>
      </c>
      <c r="T48" s="13">
        <f t="shared" si="7"/>
        <v>1.0364963834914369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Reference!B47</f>
        <v>669.01110000000006</v>
      </c>
      <c r="E49" s="13">
        <f>Reference!C47</f>
        <v>35.973399999999998</v>
      </c>
      <c r="F49" s="13">
        <f>Reference!D47</f>
        <v>39.651800000000001</v>
      </c>
      <c r="G49" s="13">
        <f>Reference!E47</f>
        <v>40.024999999999999</v>
      </c>
      <c r="H49" s="13">
        <f>Reference!F47</f>
        <v>3669.1863079099999</v>
      </c>
      <c r="I49" s="13">
        <f>Reference!G47</f>
        <v>3.1916658878300002</v>
      </c>
      <c r="J49" s="14">
        <f t="shared" si="4"/>
        <v>1.0192184188638889</v>
      </c>
      <c r="L49" s="12">
        <f>Test!B47</f>
        <v>669.0095</v>
      </c>
      <c r="M49" s="13">
        <f>Test!C47</f>
        <v>35.973399999999998</v>
      </c>
      <c r="N49" s="13">
        <f>Test!D47</f>
        <v>39.651800000000001</v>
      </c>
      <c r="O49" s="13">
        <f>Test!E47</f>
        <v>40.024999999999999</v>
      </c>
      <c r="P49" s="13">
        <f>Test!F47</f>
        <v>3628.75615573</v>
      </c>
      <c r="Q49" s="13">
        <f>Test!G47</f>
        <v>3.1753890514399998</v>
      </c>
      <c r="R49" s="14">
        <f t="shared" si="5"/>
        <v>1.0079878210361111</v>
      </c>
      <c r="S49" s="13">
        <f t="shared" si="6"/>
        <v>0.98898116672548331</v>
      </c>
      <c r="T49" s="13">
        <f t="shared" si="7"/>
        <v>0.99490020667512069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Reference!B48</f>
        <v>369.62139999999999</v>
      </c>
      <c r="E50" s="17">
        <f>Reference!C48</f>
        <v>33.2712</v>
      </c>
      <c r="F50" s="17">
        <f>Reference!D48</f>
        <v>38.215299999999999</v>
      </c>
      <c r="G50" s="17">
        <f>Reference!E48</f>
        <v>38.322499999999998</v>
      </c>
      <c r="H50" s="17">
        <f>Reference!F48</f>
        <v>2081.8256430599999</v>
      </c>
      <c r="I50" s="17">
        <f>Reference!G48</f>
        <v>2.6918120384200002</v>
      </c>
      <c r="J50" s="18">
        <f t="shared" si="4"/>
        <v>0.57828490084999995</v>
      </c>
      <c r="L50" s="16">
        <f>Test!B48</f>
        <v>369.6198</v>
      </c>
      <c r="M50" s="17">
        <f>Test!C48</f>
        <v>33.2712</v>
      </c>
      <c r="N50" s="17">
        <f>Test!D48</f>
        <v>38.215299999999999</v>
      </c>
      <c r="O50" s="17">
        <f>Test!E48</f>
        <v>38.322499999999998</v>
      </c>
      <c r="P50" s="17">
        <f>Test!F48</f>
        <v>2053.59883046</v>
      </c>
      <c r="Q50" s="17">
        <f>Test!G48</f>
        <v>2.52467012405</v>
      </c>
      <c r="R50" s="18">
        <f t="shared" si="5"/>
        <v>0.57044411957222219</v>
      </c>
      <c r="S50" s="13">
        <f t="shared" si="6"/>
        <v>0.98644131765112164</v>
      </c>
      <c r="T50" s="13">
        <f t="shared" si="7"/>
        <v>0.93790728625015485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71</v>
      </c>
      <c r="C51" s="24">
        <v>22</v>
      </c>
      <c r="D51" s="9">
        <f>Reference!B49</f>
        <v>2630.2127999999998</v>
      </c>
      <c r="E51" s="10">
        <f>Reference!C49</f>
        <v>42.290999999999997</v>
      </c>
      <c r="F51" s="10">
        <f>Reference!D49</f>
        <v>44.293999999999997</v>
      </c>
      <c r="G51" s="10">
        <f>Reference!E49</f>
        <v>45.967100000000002</v>
      </c>
      <c r="H51" s="10">
        <f>Reference!F49</f>
        <v>9577.7935888899992</v>
      </c>
      <c r="I51" s="10">
        <f>Reference!G49</f>
        <v>5.5438721180000003</v>
      </c>
      <c r="J51" s="11">
        <f t="shared" si="4"/>
        <v>2.6604982191361111</v>
      </c>
      <c r="L51" s="9">
        <f>Test!B49</f>
        <v>2630.2112000000002</v>
      </c>
      <c r="M51" s="10">
        <f>Test!C49</f>
        <v>42.290999999999997</v>
      </c>
      <c r="N51" s="10">
        <f>Test!D49</f>
        <v>44.293999999999997</v>
      </c>
      <c r="O51" s="10">
        <f>Test!E49</f>
        <v>45.967100000000002</v>
      </c>
      <c r="P51" s="10">
        <f>Test!F49</f>
        <v>9424.0513989800002</v>
      </c>
      <c r="Q51" s="10">
        <f>Test!G49</f>
        <v>5.0555698871599999</v>
      </c>
      <c r="R51" s="11">
        <f t="shared" si="5"/>
        <v>2.6177920552722225</v>
      </c>
      <c r="S51" s="13">
        <f t="shared" si="6"/>
        <v>0.98394805771463523</v>
      </c>
      <c r="T51" s="13">
        <f t="shared" si="7"/>
        <v>0.91192036532470377</v>
      </c>
      <c r="U51" s="48"/>
      <c r="V51" s="30">
        <f>bdrate($D51:$D54,E51:E54,$L51:$L54,M51:M54)</f>
        <v>-1.505339205398748E-6</v>
      </c>
      <c r="W51" s="35">
        <f>bdrate($D51:$D54,F51:F54,$L51:$L54,N51:N54)</f>
        <v>-1.3429994356606301E-6</v>
      </c>
      <c r="X51" s="35">
        <f>bdrate($D51:$D54,G51:G54,$L51:$L54,O51:O54)</f>
        <v>-1.3458851104708458E-6</v>
      </c>
      <c r="Y51" s="33">
        <f>bdrateOld($D51:$D54,E51:E54,$L51:$L54,M51:M54)</f>
        <v>-1.5045035437477594E-6</v>
      </c>
      <c r="Z51" s="37">
        <f>bdrateOld($D51:$D54,F51:F54,$L51:$L54,N51:N54)</f>
        <v>-1.3516290392479036E-6</v>
      </c>
      <c r="AA51" s="38">
        <f>bdrateOld($D51:$D54,G51:G54,$L51:$L54,O51:O54)</f>
        <v>-1.361132364485762E-6</v>
      </c>
    </row>
    <row r="52" spans="1:27" x14ac:dyDescent="0.2">
      <c r="A52" s="25"/>
      <c r="B52" s="25"/>
      <c r="C52" s="25">
        <v>27</v>
      </c>
      <c r="D52" s="12">
        <f>Reference!B50</f>
        <v>1577.08</v>
      </c>
      <c r="E52" s="13">
        <f>Reference!C50</f>
        <v>39.468899999999998</v>
      </c>
      <c r="F52" s="13">
        <f>Reference!D50</f>
        <v>42.135899999999999</v>
      </c>
      <c r="G52" s="13">
        <f>Reference!E50</f>
        <v>43.528700000000001</v>
      </c>
      <c r="H52" s="13">
        <f>Reference!F50</f>
        <v>6513.4594469100002</v>
      </c>
      <c r="I52" s="13">
        <f>Reference!G50</f>
        <v>4.4585139751399998</v>
      </c>
      <c r="J52" s="14">
        <f t="shared" si="4"/>
        <v>1.8092942908083334</v>
      </c>
      <c r="L52" s="12">
        <f>Test!B50</f>
        <v>1577.0784000000001</v>
      </c>
      <c r="M52" s="13">
        <f>Test!C50</f>
        <v>39.468899999999998</v>
      </c>
      <c r="N52" s="13">
        <f>Test!D50</f>
        <v>42.135899999999999</v>
      </c>
      <c r="O52" s="13">
        <f>Test!E50</f>
        <v>43.528700000000001</v>
      </c>
      <c r="P52" s="13">
        <f>Test!F50</f>
        <v>6400.5649449800003</v>
      </c>
      <c r="Q52" s="13">
        <f>Test!G50</f>
        <v>4.3998999595599999</v>
      </c>
      <c r="R52" s="14">
        <f t="shared" si="5"/>
        <v>1.7779347069388889</v>
      </c>
      <c r="S52" s="13">
        <f t="shared" si="6"/>
        <v>0.98266750520976109</v>
      </c>
      <c r="T52" s="13">
        <f t="shared" si="7"/>
        <v>0.98685346375343386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Reference!B51</f>
        <v>928.11839999999995</v>
      </c>
      <c r="E53" s="13">
        <f>Reference!C51</f>
        <v>36.467100000000002</v>
      </c>
      <c r="F53" s="13">
        <f>Reference!D51</f>
        <v>40.459099999999999</v>
      </c>
      <c r="G53" s="13">
        <f>Reference!E51</f>
        <v>41.619199999999999</v>
      </c>
      <c r="H53" s="13">
        <f>Reference!F51</f>
        <v>4695.9022507700001</v>
      </c>
      <c r="I53" s="13">
        <f>Reference!G51</f>
        <v>3.7408828735399999</v>
      </c>
      <c r="J53" s="14">
        <f t="shared" si="4"/>
        <v>1.3044172918805557</v>
      </c>
      <c r="L53" s="12">
        <f>Test!B51</f>
        <v>928.11680000000001</v>
      </c>
      <c r="M53" s="13">
        <f>Test!C51</f>
        <v>36.467100000000002</v>
      </c>
      <c r="N53" s="13">
        <f>Test!D51</f>
        <v>40.459099999999999</v>
      </c>
      <c r="O53" s="13">
        <f>Test!E51</f>
        <v>41.619199999999999</v>
      </c>
      <c r="P53" s="13">
        <f>Test!F51</f>
        <v>4667.6041634100002</v>
      </c>
      <c r="Q53" s="13">
        <f>Test!G51</f>
        <v>3.5774970054600002</v>
      </c>
      <c r="R53" s="14">
        <f t="shared" si="5"/>
        <v>1.2965567120583334</v>
      </c>
      <c r="S53" s="13">
        <f t="shared" si="6"/>
        <v>0.9939738764035474</v>
      </c>
      <c r="T53" s="13">
        <f t="shared" si="7"/>
        <v>0.95632424922050885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Reference!B52</f>
        <v>527.50480000000005</v>
      </c>
      <c r="E54" s="17">
        <f>Reference!C52</f>
        <v>33.393999999999998</v>
      </c>
      <c r="F54" s="17">
        <f>Reference!D52</f>
        <v>39.142600000000002</v>
      </c>
      <c r="G54" s="17">
        <f>Reference!E52</f>
        <v>40.116100000000003</v>
      </c>
      <c r="H54" s="17">
        <f>Reference!F52</f>
        <v>3098.8543817999998</v>
      </c>
      <c r="I54" s="17">
        <f>Reference!G52</f>
        <v>3.21272182465</v>
      </c>
      <c r="J54" s="18">
        <f t="shared" si="4"/>
        <v>0.8607928838333333</v>
      </c>
      <c r="L54" s="16">
        <f>Test!B52</f>
        <v>527.50319999999999</v>
      </c>
      <c r="M54" s="17">
        <f>Test!C52</f>
        <v>33.393999999999998</v>
      </c>
      <c r="N54" s="17">
        <f>Test!D52</f>
        <v>39.142600000000002</v>
      </c>
      <c r="O54" s="17">
        <f>Test!E52</f>
        <v>40.116100000000003</v>
      </c>
      <c r="P54" s="17">
        <f>Test!F52</f>
        <v>3055.3843696099998</v>
      </c>
      <c r="Q54" s="17">
        <f>Test!G52</f>
        <v>3.06776118279</v>
      </c>
      <c r="R54" s="18">
        <f t="shared" si="5"/>
        <v>0.84871788044722218</v>
      </c>
      <c r="S54" s="13">
        <f t="shared" si="6"/>
        <v>0.98597223140096368</v>
      </c>
      <c r="T54" s="13">
        <f t="shared" si="7"/>
        <v>0.95487918040467379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98</v>
      </c>
      <c r="C55" s="24">
        <v>22</v>
      </c>
      <c r="D55" s="9">
        <f>Reference!B53</f>
        <v>5092.2975999999999</v>
      </c>
      <c r="E55" s="10">
        <f>Reference!C53</f>
        <v>41.438400000000001</v>
      </c>
      <c r="F55" s="10">
        <f>Reference!D53</f>
        <v>42.645400000000002</v>
      </c>
      <c r="G55" s="10">
        <f>Reference!E53</f>
        <v>43.719099999999997</v>
      </c>
      <c r="H55" s="10">
        <f>Reference!F53</f>
        <v>9884.8742582899995</v>
      </c>
      <c r="I55" s="10">
        <f>Reference!G53</f>
        <v>7.0764091014900004</v>
      </c>
      <c r="J55" s="11">
        <f t="shared" si="4"/>
        <v>2.7457984050805555</v>
      </c>
      <c r="L55" s="9">
        <f>Test!B53</f>
        <v>5092.2960000000003</v>
      </c>
      <c r="M55" s="10">
        <f>Test!C53</f>
        <v>41.438400000000001</v>
      </c>
      <c r="N55" s="10">
        <f>Test!D53</f>
        <v>42.645400000000002</v>
      </c>
      <c r="O55" s="10">
        <f>Test!E53</f>
        <v>43.719099999999997</v>
      </c>
      <c r="P55" s="10">
        <f>Test!F53</f>
        <v>9706.0122122600005</v>
      </c>
      <c r="Q55" s="10">
        <f>Test!G53</f>
        <v>6.7041659355199998</v>
      </c>
      <c r="R55" s="11">
        <f t="shared" si="5"/>
        <v>2.6961145034055556</v>
      </c>
      <c r="S55" s="13">
        <f t="shared" si="6"/>
        <v>0.98190548090381669</v>
      </c>
      <c r="T55" s="13">
        <f t="shared" si="7"/>
        <v>0.94739660177481522</v>
      </c>
      <c r="U55" s="48"/>
      <c r="V55" s="30">
        <f>bdrate($D55:$D58,E55:E58,$L55:$L58,M55:M58)</f>
        <v>-7.1328624773325799E-7</v>
      </c>
      <c r="W55" s="35">
        <f>bdrate($D55:$D58,F55:F58,$L55:$L58,N55:N58)</f>
        <v>-6.2742471573784542E-7</v>
      </c>
      <c r="X55" s="35">
        <f>bdrate($D55:$D58,G55:G58,$L55:$L58,O55:O58)</f>
        <v>-6.2853410098817619E-7</v>
      </c>
      <c r="Y55" s="33">
        <f>bdrateOld($D55:$D58,E55:E58,$L55:$L58,M55:M58)</f>
        <v>-7.1419286795659787E-7</v>
      </c>
      <c r="Z55" s="37">
        <f>bdrateOld($D55:$D58,F55:F58,$L55:$L58,N55:N58)</f>
        <v>-6.4150298595411215E-7</v>
      </c>
      <c r="AA55" s="38">
        <f>bdrateOld($D55:$D58,G55:G58,$L55:$L58,O55:O58)</f>
        <v>-6.4905783425661667E-7</v>
      </c>
    </row>
    <row r="56" spans="1:27" x14ac:dyDescent="0.2">
      <c r="A56" s="25"/>
      <c r="B56" s="25"/>
      <c r="C56" s="25">
        <v>27</v>
      </c>
      <c r="D56" s="12">
        <f>Reference!B54</f>
        <v>3155.1563000000001</v>
      </c>
      <c r="E56" s="13">
        <f>Reference!C54</f>
        <v>37.1999</v>
      </c>
      <c r="F56" s="13">
        <f>Reference!D54</f>
        <v>39.716900000000003</v>
      </c>
      <c r="G56" s="13">
        <f>Reference!E54</f>
        <v>40.600099999999998</v>
      </c>
      <c r="H56" s="13">
        <f>Reference!F54</f>
        <v>8180.5081732299996</v>
      </c>
      <c r="I56" s="13">
        <f>Reference!G54</f>
        <v>5.46561408043</v>
      </c>
      <c r="J56" s="14">
        <f t="shared" si="4"/>
        <v>2.2723633814527777</v>
      </c>
      <c r="L56" s="12">
        <f>Test!B54</f>
        <v>3155.1547999999998</v>
      </c>
      <c r="M56" s="13">
        <f>Test!C54</f>
        <v>37.1999</v>
      </c>
      <c r="N56" s="13">
        <f>Test!D54</f>
        <v>39.716900000000003</v>
      </c>
      <c r="O56" s="13">
        <f>Test!E54</f>
        <v>40.600099999999998</v>
      </c>
      <c r="P56" s="13">
        <f>Test!F54</f>
        <v>8100.7671785499997</v>
      </c>
      <c r="Q56" s="13">
        <f>Test!G54</f>
        <v>5.2453169822700003</v>
      </c>
      <c r="R56" s="14">
        <f t="shared" si="5"/>
        <v>2.2502131051527776</v>
      </c>
      <c r="S56" s="13">
        <f t="shared" si="6"/>
        <v>0.99025231770552524</v>
      </c>
      <c r="T56" s="13">
        <f t="shared" si="7"/>
        <v>0.95969398956490759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Reference!B55</f>
        <v>1886.6754000000001</v>
      </c>
      <c r="E57" s="13">
        <f>Reference!C55</f>
        <v>33.443100000000001</v>
      </c>
      <c r="F57" s="13">
        <f>Reference!D55</f>
        <v>37.769799999999996</v>
      </c>
      <c r="G57" s="13">
        <f>Reference!E55</f>
        <v>38.485799999999998</v>
      </c>
      <c r="H57" s="13">
        <f>Reference!F55</f>
        <v>6629.0934288500002</v>
      </c>
      <c r="I57" s="13">
        <f>Reference!G55</f>
        <v>4.4703040122999997</v>
      </c>
      <c r="J57" s="14">
        <f t="shared" si="4"/>
        <v>1.8414148413472222</v>
      </c>
      <c r="L57" s="12">
        <f>Test!B55</f>
        <v>1886.6738</v>
      </c>
      <c r="M57" s="13">
        <f>Test!C55</f>
        <v>33.443100000000001</v>
      </c>
      <c r="N57" s="13">
        <f>Test!D55</f>
        <v>37.769799999999996</v>
      </c>
      <c r="O57" s="13">
        <f>Test!E55</f>
        <v>38.485799999999998</v>
      </c>
      <c r="P57" s="13">
        <f>Test!F55</f>
        <v>6547.1500570799999</v>
      </c>
      <c r="Q57" s="13">
        <f>Test!G55</f>
        <v>4.1556940078700002</v>
      </c>
      <c r="R57" s="14">
        <f t="shared" si="5"/>
        <v>1.8186527936333332</v>
      </c>
      <c r="S57" s="13">
        <f t="shared" si="6"/>
        <v>0.98763882683967308</v>
      </c>
      <c r="T57" s="13">
        <f t="shared" si="7"/>
        <v>0.92962223518482123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Reference!B56</f>
        <v>1013.3611</v>
      </c>
      <c r="E58" s="17">
        <f>Reference!C56</f>
        <v>29.7606</v>
      </c>
      <c r="F58" s="17">
        <f>Reference!D56</f>
        <v>36.356200000000001</v>
      </c>
      <c r="G58" s="17">
        <f>Reference!E56</f>
        <v>36.970599999999997</v>
      </c>
      <c r="H58" s="17">
        <f>Reference!F56</f>
        <v>5092.2068135700001</v>
      </c>
      <c r="I58" s="17">
        <f>Reference!G56</f>
        <v>3.5016169547999998</v>
      </c>
      <c r="J58" s="18">
        <f t="shared" si="4"/>
        <v>1.4145018926583333</v>
      </c>
      <c r="L58" s="16">
        <f>Test!B56</f>
        <v>1013.3595</v>
      </c>
      <c r="M58" s="17">
        <f>Test!C56</f>
        <v>29.7606</v>
      </c>
      <c r="N58" s="17">
        <f>Test!D56</f>
        <v>36.356200000000001</v>
      </c>
      <c r="O58" s="17">
        <f>Test!E56</f>
        <v>36.970599999999997</v>
      </c>
      <c r="P58" s="17">
        <f>Test!F56</f>
        <v>5037.09635162</v>
      </c>
      <c r="Q58" s="17">
        <f>Test!G56</f>
        <v>3.3781070709200001</v>
      </c>
      <c r="R58" s="18">
        <f t="shared" si="5"/>
        <v>1.3991934310055556</v>
      </c>
      <c r="S58" s="13">
        <f t="shared" si="6"/>
        <v>0.98917748945248285</v>
      </c>
      <c r="T58" s="13">
        <f t="shared" si="7"/>
        <v>0.9647277570692897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77</v>
      </c>
      <c r="C59" s="24">
        <v>22</v>
      </c>
      <c r="D59" s="9">
        <f>Reference!B57</f>
        <v>1736.0661</v>
      </c>
      <c r="E59" s="10">
        <f>Reference!C57</f>
        <v>42.747</v>
      </c>
      <c r="F59" s="10">
        <f>Reference!D57</f>
        <v>43.529200000000003</v>
      </c>
      <c r="G59" s="10">
        <f>Reference!E57</f>
        <v>44.380400000000002</v>
      </c>
      <c r="H59" s="10">
        <f>Reference!F57</f>
        <v>4964.9790308399997</v>
      </c>
      <c r="I59" s="10">
        <f>Reference!G57</f>
        <v>2.83942008018</v>
      </c>
      <c r="J59" s="11">
        <f t="shared" si="4"/>
        <v>1.3791608418999999</v>
      </c>
      <c r="L59" s="9">
        <f>Test!B57</f>
        <v>1736.0645</v>
      </c>
      <c r="M59" s="10">
        <f>Test!C57</f>
        <v>42.747</v>
      </c>
      <c r="N59" s="10">
        <f>Test!D57</f>
        <v>43.529200000000003</v>
      </c>
      <c r="O59" s="10">
        <f>Test!E57</f>
        <v>44.380400000000002</v>
      </c>
      <c r="P59" s="10">
        <f>Test!F57</f>
        <v>4899.9271898200004</v>
      </c>
      <c r="Q59" s="10">
        <f>Test!G57</f>
        <v>2.9011118412000001</v>
      </c>
      <c r="R59" s="11">
        <f t="shared" si="5"/>
        <v>1.3610908860611113</v>
      </c>
      <c r="S59" s="13">
        <f t="shared" si="6"/>
        <v>0.98689786188100104</v>
      </c>
      <c r="T59" s="13">
        <f t="shared" si="7"/>
        <v>1.0217268876312551</v>
      </c>
      <c r="U59" s="48"/>
      <c r="V59" s="30">
        <f>bdrate($D59:$D62,E59:E62,$L59:$L62,M59:M62)</f>
        <v>-2.2935291543735303E-6</v>
      </c>
      <c r="W59" s="35">
        <f>bdrate($D59:$D62,F59:F62,$L59:$L62,N59:N62)</f>
        <v>-1.8913878296888953E-6</v>
      </c>
      <c r="X59" s="35">
        <f>bdrate($D59:$D62,G59:G62,$L59:$L62,O59:O62)</f>
        <v>-1.9743498883562083E-6</v>
      </c>
      <c r="Y59" s="33">
        <f>bdrateOld($D59:$D62,E59:E62,$L59:$L62,M59:M62)</f>
        <v>-2.2928504235242286E-6</v>
      </c>
      <c r="Z59" s="37">
        <f>bdrateOld($D59:$D62,F59:F62,$L59:$L62,N59:N62)</f>
        <v>-2.0416810422307918E-6</v>
      </c>
      <c r="AA59" s="38">
        <f>bdrateOld($D59:$D62,G59:G62,$L59:$L62,O59:O62)</f>
        <v>-2.0662189430531441E-6</v>
      </c>
    </row>
    <row r="60" spans="1:27" x14ac:dyDescent="0.2">
      <c r="A60" s="25"/>
      <c r="B60" s="25"/>
      <c r="C60" s="25">
        <v>27</v>
      </c>
      <c r="D60" s="12">
        <f>Reference!B58</f>
        <v>1040.5816</v>
      </c>
      <c r="E60" s="13">
        <f>Reference!C58</f>
        <v>39.366700000000002</v>
      </c>
      <c r="F60" s="13">
        <f>Reference!D58</f>
        <v>40.265300000000003</v>
      </c>
      <c r="G60" s="13">
        <f>Reference!E58</f>
        <v>41.729300000000002</v>
      </c>
      <c r="H60" s="13">
        <f>Reference!F58</f>
        <v>3578.0769460199999</v>
      </c>
      <c r="I60" s="13">
        <f>Reference!G58</f>
        <v>2.4019119739499999</v>
      </c>
      <c r="J60" s="14">
        <f t="shared" si="4"/>
        <v>0.99391026278333328</v>
      </c>
      <c r="L60" s="12">
        <f>Test!B58</f>
        <v>1040.58</v>
      </c>
      <c r="M60" s="13">
        <f>Test!C58</f>
        <v>39.366700000000002</v>
      </c>
      <c r="N60" s="13">
        <f>Test!D58</f>
        <v>40.265300000000003</v>
      </c>
      <c r="O60" s="13">
        <f>Test!E58</f>
        <v>41.729300000000002</v>
      </c>
      <c r="P60" s="13">
        <f>Test!F58</f>
        <v>3503.4077630000002</v>
      </c>
      <c r="Q60" s="13">
        <f>Test!G58</f>
        <v>2.5183432102199999</v>
      </c>
      <c r="R60" s="14">
        <f t="shared" si="5"/>
        <v>0.97316882305555563</v>
      </c>
      <c r="S60" s="13">
        <f t="shared" si="6"/>
        <v>0.97913147644768894</v>
      </c>
      <c r="T60" s="13">
        <f t="shared" si="7"/>
        <v>1.0484743977018134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Reference!B59</f>
        <v>599.73469999999998</v>
      </c>
      <c r="E61" s="13">
        <f>Reference!C59</f>
        <v>36.003500000000003</v>
      </c>
      <c r="F61" s="13">
        <f>Reference!D59</f>
        <v>38.0304</v>
      </c>
      <c r="G61" s="13">
        <f>Reference!E59</f>
        <v>39.990299999999998</v>
      </c>
      <c r="H61" s="13">
        <f>Reference!F59</f>
        <v>2640.7111790200001</v>
      </c>
      <c r="I61" s="13">
        <f>Reference!G59</f>
        <v>2.0723850727099999</v>
      </c>
      <c r="J61" s="14">
        <f t="shared" si="4"/>
        <v>0.73353088306111114</v>
      </c>
      <c r="L61" s="12">
        <f>Test!B59</f>
        <v>599.73320000000001</v>
      </c>
      <c r="M61" s="13">
        <f>Test!C59</f>
        <v>36.003500000000003</v>
      </c>
      <c r="N61" s="13">
        <f>Test!D59</f>
        <v>38.0304</v>
      </c>
      <c r="O61" s="13">
        <f>Test!E59</f>
        <v>39.990299999999998</v>
      </c>
      <c r="P61" s="13">
        <f>Test!F59</f>
        <v>2612.5734179000001</v>
      </c>
      <c r="Q61" s="13">
        <f>Test!G59</f>
        <v>2.1574521064800001</v>
      </c>
      <c r="R61" s="14">
        <f t="shared" si="5"/>
        <v>0.72571483830555561</v>
      </c>
      <c r="S61" s="13">
        <f t="shared" si="6"/>
        <v>0.98934462755959462</v>
      </c>
      <c r="T61" s="13">
        <f t="shared" si="7"/>
        <v>1.0410478896466671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Reference!B60</f>
        <v>305.26499999999999</v>
      </c>
      <c r="E62" s="17">
        <f>Reference!C60</f>
        <v>32.571300000000001</v>
      </c>
      <c r="F62" s="17">
        <f>Reference!D60</f>
        <v>36.7194</v>
      </c>
      <c r="G62" s="17">
        <f>Reference!E60</f>
        <v>38.6723</v>
      </c>
      <c r="H62" s="17">
        <f>Reference!F60</f>
        <v>1731.31774879</v>
      </c>
      <c r="I62" s="17">
        <f>Reference!G60</f>
        <v>1.7594859600099999</v>
      </c>
      <c r="J62" s="18">
        <f t="shared" si="4"/>
        <v>0.48092159688611114</v>
      </c>
      <c r="L62" s="16">
        <f>Test!B60</f>
        <v>305.26339999999999</v>
      </c>
      <c r="M62" s="17">
        <f>Test!C60</f>
        <v>32.571300000000001</v>
      </c>
      <c r="N62" s="17">
        <f>Test!D60</f>
        <v>36.7194</v>
      </c>
      <c r="O62" s="17">
        <f>Test!E60</f>
        <v>38.6723</v>
      </c>
      <c r="P62" s="17">
        <f>Test!F60</f>
        <v>1715.02493501</v>
      </c>
      <c r="Q62" s="17">
        <f>Test!G60</f>
        <v>1.64096093178</v>
      </c>
      <c r="R62" s="18">
        <f t="shared" si="5"/>
        <v>0.47639581528055558</v>
      </c>
      <c r="S62" s="17">
        <f t="shared" si="6"/>
        <v>0.99058935669585391</v>
      </c>
      <c r="T62" s="17">
        <f t="shared" si="7"/>
        <v>0.93263655924294719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17</v>
      </c>
      <c r="B63" s="24" t="s">
        <v>74</v>
      </c>
      <c r="C63" s="24">
        <f>C59</f>
        <v>22</v>
      </c>
      <c r="D63" s="115" t="s">
        <v>526</v>
      </c>
      <c r="E63" s="116">
        <v>42.95</v>
      </c>
      <c r="F63" s="116">
        <v>45.05</v>
      </c>
      <c r="G63" s="116">
        <v>44.86</v>
      </c>
      <c r="H63" s="10">
        <v>38.390999999999998</v>
      </c>
      <c r="I63" s="10">
        <v>3.1E-2</v>
      </c>
      <c r="J63" s="11">
        <f t="shared" si="4"/>
        <v>1.0664166666666666E-2</v>
      </c>
      <c r="L63" s="9">
        <v>5302.59</v>
      </c>
      <c r="M63" s="10">
        <v>41.7</v>
      </c>
      <c r="N63" s="10">
        <v>44.92</v>
      </c>
      <c r="O63" s="10">
        <v>44.72</v>
      </c>
      <c r="P63" s="10">
        <v>36.97</v>
      </c>
      <c r="Q63" s="10">
        <v>0.03</v>
      </c>
      <c r="R63" s="11">
        <f t="shared" si="5"/>
        <v>1.0269444444444444E-2</v>
      </c>
      <c r="S63" s="10">
        <f t="shared" si="6"/>
        <v>0.96298611653773025</v>
      </c>
      <c r="T63" s="10">
        <f t="shared" si="7"/>
        <v>0.96774193548387089</v>
      </c>
      <c r="U63" s="47"/>
      <c r="V63" s="30" t="e">
        <f>bdrate($D63:$D66,E63:V64E66,$L62:O66,M63:M66)</f>
        <v>#VALUE!</v>
      </c>
      <c r="W63" s="35">
        <f>bdrate($D63:$D66,F63:F66,$L63:$L66,N63:N66)</f>
        <v>1.8108435578909621E-2</v>
      </c>
      <c r="X63" s="36">
        <f>bdrate($D63:$D66,G63:G66,$L63:$L66,O63:O66)</f>
        <v>2.1613490658616286E-2</v>
      </c>
      <c r="Y63" s="30">
        <f>bdrateOld($D63:$D66,E63:E66,$L63:$L66,M63:M66)</f>
        <v>-7.3835186598486424E-2</v>
      </c>
      <c r="Z63" s="35">
        <f>bdrateOld($D63:$D66,F63:F66,$L63:$L66,N63:N66)</f>
        <v>1.7827645747211074E-2</v>
      </c>
      <c r="AA63" s="36">
        <f>bdrateOld($D63:$D66,G63:G66,$L63:$L66,O63:O66)</f>
        <v>2.1066798268945863E-2</v>
      </c>
    </row>
    <row r="64" spans="1:27" x14ac:dyDescent="0.2">
      <c r="A64" s="25" t="s">
        <v>99</v>
      </c>
      <c r="B64" s="25"/>
      <c r="C64" s="25">
        <f>C60</f>
        <v>27</v>
      </c>
      <c r="D64" s="117" t="s">
        <v>527</v>
      </c>
      <c r="E64" s="118">
        <v>39.380000000000003</v>
      </c>
      <c r="F64" s="118">
        <v>41.96</v>
      </c>
      <c r="G64" s="118">
        <v>41.53</v>
      </c>
      <c r="H64" s="13">
        <v>25.385999999999999</v>
      </c>
      <c r="I64" s="13">
        <v>2.7E-2</v>
      </c>
      <c r="J64" s="14">
        <f t="shared" si="4"/>
        <v>7.0516666666666662E-3</v>
      </c>
      <c r="L64" s="12">
        <v>3148.08</v>
      </c>
      <c r="M64" s="13">
        <v>39.64</v>
      </c>
      <c r="N64" s="13">
        <v>41.84</v>
      </c>
      <c r="O64" s="13">
        <v>41.38</v>
      </c>
      <c r="P64" s="13">
        <v>25.09</v>
      </c>
      <c r="Q64" s="13">
        <v>2.5000000000000001E-2</v>
      </c>
      <c r="R64" s="14">
        <f t="shared" si="5"/>
        <v>6.9694444444444448E-3</v>
      </c>
      <c r="S64" s="13">
        <f t="shared" si="6"/>
        <v>0.98834002993776104</v>
      </c>
      <c r="T64" s="13">
        <f t="shared" si="7"/>
        <v>0.92592592592592604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17" t="s">
        <v>528</v>
      </c>
      <c r="E65" s="118">
        <v>35.979999999999997</v>
      </c>
      <c r="F65" s="118">
        <v>39.6</v>
      </c>
      <c r="G65" s="118">
        <v>38.979999999999997</v>
      </c>
      <c r="H65" s="13">
        <v>19.696000000000002</v>
      </c>
      <c r="I65" s="13">
        <v>2.3E-2</v>
      </c>
      <c r="J65" s="14">
        <f t="shared" si="4"/>
        <v>5.4711111111111115E-3</v>
      </c>
      <c r="L65" s="12">
        <v>1800.36</v>
      </c>
      <c r="M65" s="13">
        <v>36.69</v>
      </c>
      <c r="N65" s="13">
        <v>39.5</v>
      </c>
      <c r="O65" s="13">
        <v>38.85</v>
      </c>
      <c r="P65" s="13">
        <v>19.082999999999998</v>
      </c>
      <c r="Q65" s="13">
        <v>2.1999999999999999E-2</v>
      </c>
      <c r="R65" s="14">
        <f t="shared" si="5"/>
        <v>5.3008333333333327E-3</v>
      </c>
      <c r="S65" s="13">
        <f t="shared" si="6"/>
        <v>0.96887692932575131</v>
      </c>
      <c r="T65" s="13">
        <f t="shared" si="7"/>
        <v>0.9565217391304347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19" t="s">
        <v>529</v>
      </c>
      <c r="E66" s="120">
        <v>32.81</v>
      </c>
      <c r="F66" s="120">
        <v>37.93</v>
      </c>
      <c r="G66" s="120">
        <v>37.119999999999997</v>
      </c>
      <c r="H66" s="17">
        <v>11.625</v>
      </c>
      <c r="I66" s="17">
        <v>0.02</v>
      </c>
      <c r="J66" s="18">
        <f t="shared" si="4"/>
        <v>3.2291666666666666E-3</v>
      </c>
      <c r="L66" s="16">
        <v>1001.97</v>
      </c>
      <c r="M66" s="17">
        <v>33.47</v>
      </c>
      <c r="N66" s="17">
        <v>37.86</v>
      </c>
      <c r="O66" s="17">
        <v>37.04</v>
      </c>
      <c r="P66" s="17">
        <v>11.252000000000001</v>
      </c>
      <c r="Q66" s="17">
        <v>1.9E-2</v>
      </c>
      <c r="R66" s="18">
        <f t="shared" si="5"/>
        <v>3.1255555555555559E-3</v>
      </c>
      <c r="S66" s="13">
        <f t="shared" si="6"/>
        <v>0.96791397849462368</v>
      </c>
      <c r="T66" s="13">
        <f t="shared" si="7"/>
        <v>0.95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75</v>
      </c>
      <c r="C67" s="24">
        <v>22</v>
      </c>
      <c r="D67" s="9">
        <v>1491.9</v>
      </c>
      <c r="E67" s="10">
        <v>41.971899999999998</v>
      </c>
      <c r="F67" s="10">
        <v>43.895499999999998</v>
      </c>
      <c r="G67" s="10">
        <v>44.650399999999998</v>
      </c>
      <c r="H67" s="10">
        <v>34.918999999999997</v>
      </c>
      <c r="I67" s="10">
        <v>4.1000000000000002E-2</v>
      </c>
      <c r="J67" s="11">
        <f t="shared" ref="J67:J98" si="8">H67/3600</f>
        <v>9.6997222222222207E-3</v>
      </c>
      <c r="L67" s="9">
        <v>1491.84</v>
      </c>
      <c r="M67" s="10">
        <v>41.980600000000003</v>
      </c>
      <c r="N67" s="10">
        <v>43.895499999999998</v>
      </c>
      <c r="O67" s="10">
        <v>44.650399999999998</v>
      </c>
      <c r="P67" s="10">
        <v>34.002000000000002</v>
      </c>
      <c r="Q67" s="10">
        <v>0.04</v>
      </c>
      <c r="R67" s="11">
        <f t="shared" ref="R67:R98" si="9">P67/3600</f>
        <v>9.4450000000000003E-3</v>
      </c>
      <c r="S67" s="13">
        <f t="shared" ref="S67:S98" si="10">P67/H67</f>
        <v>0.97373922506371902</v>
      </c>
      <c r="T67" s="13">
        <f t="shared" ref="T67:T98" si="11">Q67/I67</f>
        <v>0.97560975609756095</v>
      </c>
      <c r="U67" s="48"/>
      <c r="V67" s="30">
        <f>bdrate($D67:$D70,E67:E70,$L67:$L70,M67:M70)</f>
        <v>-5.6597264301401218E-3</v>
      </c>
      <c r="W67" s="35">
        <f>bdrate($D67:$D70,F67:F70,$L67:$L70,N67:N70)</f>
        <v>2.4087812145023868E-4</v>
      </c>
      <c r="X67" s="35">
        <f>bdrate($D67:$D70,G67:G70,$L67:$L70,O67:O70)</f>
        <v>2.9270047670393318E-4</v>
      </c>
      <c r="Y67" s="33">
        <f>bdrateOld($D67:$D70,E67:E70,$L67:$L70,M67:M70)</f>
        <v>-5.5952815003587064E-3</v>
      </c>
      <c r="Z67" s="37">
        <f>bdrateOld($D67:$D70,F67:F70,$L67:$L70,N67:N70)</f>
        <v>-7.9485524245859196E-6</v>
      </c>
      <c r="AA67" s="38">
        <f>bdrateOld($D67:$D70,G67:G70,$L67:$L70,O67:O70)</f>
        <v>1.726974400346748E-4</v>
      </c>
    </row>
    <row r="68" spans="1:27" x14ac:dyDescent="0.2">
      <c r="A68" s="25"/>
      <c r="B68" s="25"/>
      <c r="C68" s="25">
        <v>27</v>
      </c>
      <c r="D68" s="12">
        <v>991.62</v>
      </c>
      <c r="E68" s="13">
        <v>37.533799999999999</v>
      </c>
      <c r="F68" s="13">
        <v>41.137999999999998</v>
      </c>
      <c r="G68" s="13">
        <v>42.0961</v>
      </c>
      <c r="H68" s="13">
        <v>28.712</v>
      </c>
      <c r="I68" s="13">
        <v>3.3000000000000002E-2</v>
      </c>
      <c r="J68" s="14">
        <f t="shared" si="8"/>
        <v>7.9755555555555552E-3</v>
      </c>
      <c r="L68" s="12">
        <v>991.74</v>
      </c>
      <c r="M68" s="13">
        <v>37.550899999999999</v>
      </c>
      <c r="N68" s="13">
        <v>41.137999999999998</v>
      </c>
      <c r="O68" s="13">
        <v>42.0961</v>
      </c>
      <c r="P68" s="13">
        <v>27.891999999999999</v>
      </c>
      <c r="Q68" s="13">
        <v>3.2000000000000001E-2</v>
      </c>
      <c r="R68" s="14">
        <f t="shared" si="9"/>
        <v>7.7477777777777779E-3</v>
      </c>
      <c r="S68" s="13">
        <f t="shared" si="10"/>
        <v>0.9714405126776261</v>
      </c>
      <c r="T68" s="13">
        <f t="shared" si="11"/>
        <v>0.96969696969696972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v>630.41999999999996</v>
      </c>
      <c r="E69" s="13">
        <v>33.666400000000003</v>
      </c>
      <c r="F69" s="13">
        <v>39.613300000000002</v>
      </c>
      <c r="G69" s="13">
        <v>40.287500000000001</v>
      </c>
      <c r="H69" s="13">
        <v>21.954999999999998</v>
      </c>
      <c r="I69" s="13">
        <v>2.8000000000000001E-2</v>
      </c>
      <c r="J69" s="14">
        <f t="shared" si="8"/>
        <v>6.0986111111111102E-3</v>
      </c>
      <c r="L69" s="12">
        <v>631.02</v>
      </c>
      <c r="M69" s="13">
        <v>33.743699999999997</v>
      </c>
      <c r="N69" s="13">
        <v>39.613300000000002</v>
      </c>
      <c r="O69" s="13">
        <v>40.287500000000001</v>
      </c>
      <c r="P69" s="13">
        <v>20.971</v>
      </c>
      <c r="Q69" s="13">
        <v>2.7E-2</v>
      </c>
      <c r="R69" s="14">
        <f t="shared" si="9"/>
        <v>5.8252777777777782E-3</v>
      </c>
      <c r="S69" s="13">
        <f t="shared" si="10"/>
        <v>0.95518105215212945</v>
      </c>
      <c r="T69" s="13">
        <f t="shared" si="11"/>
        <v>0.9642857142857143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v>383.22</v>
      </c>
      <c r="E70" s="17">
        <v>29.973800000000001</v>
      </c>
      <c r="F70" s="17">
        <v>38.720999999999997</v>
      </c>
      <c r="G70" s="17">
        <v>39.247599999999998</v>
      </c>
      <c r="H70" s="17">
        <v>20.2</v>
      </c>
      <c r="I70" s="17">
        <v>2.5999999999999999E-2</v>
      </c>
      <c r="J70" s="18">
        <f t="shared" si="8"/>
        <v>5.611111111111111E-3</v>
      </c>
      <c r="L70" s="16">
        <v>383.28</v>
      </c>
      <c r="M70" s="17">
        <v>30.09</v>
      </c>
      <c r="N70" s="17">
        <v>38.720999999999997</v>
      </c>
      <c r="O70" s="17">
        <v>39.247599999999998</v>
      </c>
      <c r="P70" s="17">
        <v>19.192</v>
      </c>
      <c r="Q70" s="17">
        <v>2.4E-2</v>
      </c>
      <c r="R70" s="18">
        <f t="shared" si="9"/>
        <v>5.3311111111111111E-3</v>
      </c>
      <c r="S70" s="13">
        <f t="shared" si="10"/>
        <v>0.95009900990099017</v>
      </c>
      <c r="T70" s="13">
        <f t="shared" si="11"/>
        <v>0.92307692307692313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76</v>
      </c>
      <c r="C71" s="24">
        <v>22</v>
      </c>
      <c r="D71" s="9">
        <v>1097.4000000000001</v>
      </c>
      <c r="E71" s="10">
        <v>41.4816</v>
      </c>
      <c r="F71" s="10">
        <v>42.215600000000002</v>
      </c>
      <c r="G71" s="10">
        <v>43.9636</v>
      </c>
      <c r="H71" s="10">
        <v>42.901000000000003</v>
      </c>
      <c r="I71" s="10">
        <v>4.2000000000000003E-2</v>
      </c>
      <c r="J71" s="11">
        <f t="shared" si="8"/>
        <v>1.1916944444444445E-2</v>
      </c>
      <c r="L71" s="9">
        <v>1098.6500000000001</v>
      </c>
      <c r="M71" s="10">
        <v>41.486699999999999</v>
      </c>
      <c r="N71" s="10">
        <v>42.215600000000002</v>
      </c>
      <c r="O71" s="10">
        <v>43.9636</v>
      </c>
      <c r="P71" s="10">
        <v>42.052</v>
      </c>
      <c r="Q71" s="10">
        <v>3.9E-2</v>
      </c>
      <c r="R71" s="11">
        <f t="shared" si="9"/>
        <v>1.1681111111111111E-2</v>
      </c>
      <c r="S71" s="13">
        <f t="shared" si="10"/>
        <v>0.98021025150928875</v>
      </c>
      <c r="T71" s="13">
        <f t="shared" si="11"/>
        <v>0.92857142857142849</v>
      </c>
      <c r="U71" s="48"/>
      <c r="V71" s="30">
        <f>bdrate($D71:$D74,E71:E74,$L71:$L74,M71:M74)</f>
        <v>-2.0195507364120235E-3</v>
      </c>
      <c r="W71" s="35">
        <f>bdrate($D71:$D74,F71:F74,$L71:$L74,N71:N74)</f>
        <v>1.7464861976934642E-4</v>
      </c>
      <c r="X71" s="35">
        <f>bdrate($D71:$D74,G71:G74,$L71:$L74,O71:O74)</f>
        <v>1.752239990360227E-4</v>
      </c>
      <c r="Y71" s="33">
        <f>bdrateOld($D71:$D74,E71:E74,$L71:$L74,M71:M74)</f>
        <v>-2.060118033018532E-3</v>
      </c>
      <c r="Z71" s="37">
        <f>bdrateOld($D71:$D74,F71:F74,$L71:$L74,N71:N74)</f>
        <v>1.2050069075453251E-4</v>
      </c>
      <c r="AA71" s="38">
        <f>bdrateOld($D71:$D74,G71:G74,$L71:$L74,O71:O74)</f>
        <v>1.2249832680577555E-4</v>
      </c>
    </row>
    <row r="72" spans="1:27" x14ac:dyDescent="0.2">
      <c r="A72" s="25"/>
      <c r="B72" s="25"/>
      <c r="C72" s="25">
        <v>27</v>
      </c>
      <c r="D72" s="12">
        <v>652.4</v>
      </c>
      <c r="E72" s="13">
        <v>37.543100000000003</v>
      </c>
      <c r="F72" s="13">
        <v>39.241300000000003</v>
      </c>
      <c r="G72" s="13">
        <v>41.057099999999998</v>
      </c>
      <c r="H72" s="13">
        <v>39.646999999999998</v>
      </c>
      <c r="I72" s="13">
        <v>3.2000000000000001E-2</v>
      </c>
      <c r="J72" s="14">
        <f t="shared" si="8"/>
        <v>1.1013055555555555E-2</v>
      </c>
      <c r="L72" s="12">
        <v>652.75</v>
      </c>
      <c r="M72" s="13">
        <v>37.561799999999998</v>
      </c>
      <c r="N72" s="13">
        <v>39.241300000000003</v>
      </c>
      <c r="O72" s="13">
        <v>41.057099999999998</v>
      </c>
      <c r="P72" s="13">
        <v>38.715000000000003</v>
      </c>
      <c r="Q72" s="13">
        <v>3.2000000000000001E-2</v>
      </c>
      <c r="R72" s="14">
        <f t="shared" si="9"/>
        <v>1.0754166666666667E-2</v>
      </c>
      <c r="S72" s="13">
        <f t="shared" si="10"/>
        <v>0.97649254672484687</v>
      </c>
      <c r="T72" s="13">
        <f t="shared" si="11"/>
        <v>1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v>359.2</v>
      </c>
      <c r="E73" s="13">
        <v>33.851199999999999</v>
      </c>
      <c r="F73" s="13">
        <v>36.948700000000002</v>
      </c>
      <c r="G73" s="13">
        <v>38.750399999999999</v>
      </c>
      <c r="H73" s="13">
        <v>30.452000000000002</v>
      </c>
      <c r="I73" s="13">
        <v>2.8000000000000001E-2</v>
      </c>
      <c r="J73" s="14">
        <f t="shared" si="8"/>
        <v>8.4588888888888891E-3</v>
      </c>
      <c r="L73" s="12">
        <v>359.1</v>
      </c>
      <c r="M73" s="13">
        <v>33.860300000000002</v>
      </c>
      <c r="N73" s="13">
        <v>36.948700000000002</v>
      </c>
      <c r="O73" s="13">
        <v>38.750399999999999</v>
      </c>
      <c r="P73" s="13">
        <v>29.611000000000001</v>
      </c>
      <c r="Q73" s="13">
        <v>2.5999999999999999E-2</v>
      </c>
      <c r="R73" s="14">
        <f t="shared" si="9"/>
        <v>8.2252777777777775E-3</v>
      </c>
      <c r="S73" s="13">
        <f t="shared" si="10"/>
        <v>0.97238276632076703</v>
      </c>
      <c r="T73" s="13">
        <f t="shared" si="11"/>
        <v>0.92857142857142849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v>188.25</v>
      </c>
      <c r="E74" s="17">
        <v>30.559799999999999</v>
      </c>
      <c r="F74" s="17">
        <v>35.371899999999997</v>
      </c>
      <c r="G74" s="17">
        <v>37.213299999999997</v>
      </c>
      <c r="H74" s="17">
        <v>19.495999999999999</v>
      </c>
      <c r="I74" s="17">
        <v>2.4E-2</v>
      </c>
      <c r="J74" s="18">
        <f t="shared" si="8"/>
        <v>5.4155555555555554E-3</v>
      </c>
      <c r="L74" s="16">
        <v>187.8</v>
      </c>
      <c r="M74" s="17">
        <v>30.571300000000001</v>
      </c>
      <c r="N74" s="17">
        <v>35.371899999999997</v>
      </c>
      <c r="O74" s="17">
        <v>37.213299999999997</v>
      </c>
      <c r="P74" s="17">
        <v>18.992000000000001</v>
      </c>
      <c r="Q74" s="17">
        <v>2.1999999999999999E-2</v>
      </c>
      <c r="R74" s="18">
        <f t="shared" si="9"/>
        <v>5.2755555555555559E-3</v>
      </c>
      <c r="S74" s="13">
        <f t="shared" si="10"/>
        <v>0.97414854329093159</v>
      </c>
      <c r="T74" s="13">
        <f t="shared" si="11"/>
        <v>0.91666666666666663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77</v>
      </c>
      <c r="C75" s="24">
        <v>22</v>
      </c>
      <c r="D75" s="9">
        <v>600.41999999999996</v>
      </c>
      <c r="E75" s="10">
        <v>42.871200000000002</v>
      </c>
      <c r="F75" s="10">
        <v>43.016399999999997</v>
      </c>
      <c r="G75" s="10">
        <v>43.7742</v>
      </c>
      <c r="H75" s="10">
        <v>42.023000000000003</v>
      </c>
      <c r="I75" s="10">
        <v>3.7999999999999999E-2</v>
      </c>
      <c r="J75" s="11">
        <f t="shared" si="8"/>
        <v>1.1673055555555556E-2</v>
      </c>
      <c r="L75" s="9">
        <v>600.80999999999995</v>
      </c>
      <c r="M75" s="10">
        <v>42.888300000000001</v>
      </c>
      <c r="N75" s="10">
        <v>43.016399999999997</v>
      </c>
      <c r="O75" s="10">
        <v>43.7742</v>
      </c>
      <c r="P75" s="10">
        <v>41.14</v>
      </c>
      <c r="Q75" s="10">
        <v>3.5999999999999997E-2</v>
      </c>
      <c r="R75" s="11">
        <f t="shared" si="9"/>
        <v>1.1427777777777778E-2</v>
      </c>
      <c r="S75" s="13">
        <f t="shared" si="10"/>
        <v>0.97898769721343071</v>
      </c>
      <c r="T75" s="13">
        <f t="shared" si="11"/>
        <v>0.94736842105263153</v>
      </c>
      <c r="U75" s="48"/>
      <c r="V75" s="30">
        <f>bdrate($D75:$D78,E75:E78,$L75:$L78,M75:M78)</f>
        <v>-5.129060310202882E-3</v>
      </c>
      <c r="W75" s="35">
        <f>bdrate($D75:$D78,F75:F78,$L75:$L78,N75:N78)</f>
        <v>1.3880571365869621E-3</v>
      </c>
      <c r="X75" s="35">
        <f>bdrate($D75:$D78,G75:G78,$L75:$L78,O75:O78)</f>
        <v>1.3659978252007487E-3</v>
      </c>
      <c r="Y75" s="33">
        <f>bdrateOld($D75:$D78,E75:E78,$L75:$L78,M75:M78)</f>
        <v>-5.1079129430779968E-3</v>
      </c>
      <c r="Z75" s="37">
        <f>bdrateOld($D75:$D78,F75:F78,$L75:$L78,N75:N78)</f>
        <v>1.224365605392963E-3</v>
      </c>
      <c r="AA75" s="38">
        <f>bdrateOld($D75:$D78,G75:G78,$L75:$L78,O75:O78)</f>
        <v>1.2738477796627734E-3</v>
      </c>
    </row>
    <row r="76" spans="1:27" x14ac:dyDescent="0.2">
      <c r="A76" s="25"/>
      <c r="B76" s="25"/>
      <c r="C76" s="25">
        <v>27</v>
      </c>
      <c r="D76" s="12">
        <v>374.85</v>
      </c>
      <c r="E76" s="13">
        <v>38.6023</v>
      </c>
      <c r="F76" s="13">
        <v>39.747500000000002</v>
      </c>
      <c r="G76" s="13">
        <v>40.562100000000001</v>
      </c>
      <c r="H76" s="13">
        <v>33.317</v>
      </c>
      <c r="I76" s="13">
        <v>3.3000000000000002E-2</v>
      </c>
      <c r="J76" s="14">
        <f t="shared" si="8"/>
        <v>9.2547222222222215E-3</v>
      </c>
      <c r="L76" s="12">
        <v>375.66</v>
      </c>
      <c r="M76" s="13">
        <v>38.647199999999998</v>
      </c>
      <c r="N76" s="13">
        <v>39.747500000000002</v>
      </c>
      <c r="O76" s="13">
        <v>40.562100000000001</v>
      </c>
      <c r="P76" s="13">
        <v>32.631999999999998</v>
      </c>
      <c r="Q76" s="13">
        <v>3.1E-2</v>
      </c>
      <c r="R76" s="14">
        <f t="shared" si="9"/>
        <v>9.0644444444444444E-3</v>
      </c>
      <c r="S76" s="13">
        <f t="shared" si="10"/>
        <v>0.9794399255635261</v>
      </c>
      <c r="T76" s="13">
        <f t="shared" si="11"/>
        <v>0.93939393939393934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v>219.36</v>
      </c>
      <c r="E77" s="13">
        <v>34.651499999999999</v>
      </c>
      <c r="F77" s="13">
        <v>37.669800000000002</v>
      </c>
      <c r="G77" s="13">
        <v>38.225900000000003</v>
      </c>
      <c r="H77" s="13">
        <v>26.539000000000001</v>
      </c>
      <c r="I77" s="13">
        <v>2.9000000000000001E-2</v>
      </c>
      <c r="J77" s="14">
        <f t="shared" si="8"/>
        <v>7.3719444444444449E-3</v>
      </c>
      <c r="L77" s="12">
        <v>219.72</v>
      </c>
      <c r="M77" s="13">
        <v>34.7087</v>
      </c>
      <c r="N77" s="13">
        <v>37.669800000000002</v>
      </c>
      <c r="O77" s="13">
        <v>38.225900000000003</v>
      </c>
      <c r="P77" s="13">
        <v>25.824000000000002</v>
      </c>
      <c r="Q77" s="13">
        <v>2.7E-2</v>
      </c>
      <c r="R77" s="14">
        <f t="shared" si="9"/>
        <v>7.1733333333333336E-3</v>
      </c>
      <c r="S77" s="13">
        <f t="shared" si="10"/>
        <v>0.97305851765326501</v>
      </c>
      <c r="T77" s="13">
        <f t="shared" si="11"/>
        <v>0.93103448275862066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v>118.8</v>
      </c>
      <c r="E78" s="17">
        <v>31.001000000000001</v>
      </c>
      <c r="F78" s="17">
        <v>36.133000000000003</v>
      </c>
      <c r="G78" s="17">
        <v>36.448700000000002</v>
      </c>
      <c r="H78" s="17">
        <v>19.350000000000001</v>
      </c>
      <c r="I78" s="17">
        <v>2.5000000000000001E-2</v>
      </c>
      <c r="J78" s="18">
        <f t="shared" si="8"/>
        <v>5.3750000000000004E-3</v>
      </c>
      <c r="L78" s="16">
        <v>118.53</v>
      </c>
      <c r="M78" s="17">
        <v>31.045400000000001</v>
      </c>
      <c r="N78" s="17">
        <v>36.133000000000003</v>
      </c>
      <c r="O78" s="17">
        <v>36.448700000000002</v>
      </c>
      <c r="P78" s="17">
        <v>18.638000000000002</v>
      </c>
      <c r="Q78" s="17">
        <v>2.3E-2</v>
      </c>
      <c r="R78" s="18">
        <f t="shared" si="9"/>
        <v>5.1772222222222228E-3</v>
      </c>
      <c r="S78" s="17">
        <f t="shared" si="10"/>
        <v>0.96320413436692509</v>
      </c>
      <c r="T78" s="17">
        <f t="shared" si="11"/>
        <v>0.91999999999999993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100</v>
      </c>
      <c r="B79" s="24" t="s">
        <v>78</v>
      </c>
      <c r="C79" s="24">
        <v>22</v>
      </c>
      <c r="D79" s="9">
        <f>Reference!B77</f>
        <v>3349.1984000000002</v>
      </c>
      <c r="E79" s="10">
        <f>Reference!C77</f>
        <v>44.329000000000001</v>
      </c>
      <c r="F79" s="10">
        <f>Reference!D77</f>
        <v>47.317599999999999</v>
      </c>
      <c r="G79" s="10">
        <f>Reference!E77</f>
        <v>48.519300000000001</v>
      </c>
      <c r="H79" s="10">
        <f>Reference!F77</f>
        <v>14368.231133900001</v>
      </c>
      <c r="I79" s="10">
        <f>Reference!G77</f>
        <v>9.3485748767899999</v>
      </c>
      <c r="J79" s="11">
        <f t="shared" si="8"/>
        <v>3.9911753149722222</v>
      </c>
      <c r="L79" s="9">
        <f>Test!B77</f>
        <v>3349.1968000000002</v>
      </c>
      <c r="M79" s="10">
        <f>Test!C77</f>
        <v>44.329000000000001</v>
      </c>
      <c r="N79" s="10">
        <f>Test!D77</f>
        <v>47.317599999999999</v>
      </c>
      <c r="O79" s="10">
        <f>Test!E77</f>
        <v>48.519300000000001</v>
      </c>
      <c r="P79" s="10">
        <f>Test!F77</f>
        <v>14127.265073799999</v>
      </c>
      <c r="Q79" s="10">
        <f>Test!G77</f>
        <v>9.4044289588899996</v>
      </c>
      <c r="R79" s="11">
        <f t="shared" si="9"/>
        <v>3.9242402982777778</v>
      </c>
      <c r="S79" s="10">
        <f t="shared" si="10"/>
        <v>0.98322924667244027</v>
      </c>
      <c r="T79" s="10">
        <f t="shared" si="11"/>
        <v>1.0059746092678437</v>
      </c>
      <c r="U79" s="47"/>
      <c r="V79" s="30">
        <f>bdrate($D79:$D82,E79:E82,$L79:$L82,M79:M82)</f>
        <v>-1.1290196922919549E-6</v>
      </c>
      <c r="W79" s="35">
        <f>bdrate($D79:$D82,F79:F82,$L79:$L82,N79:N82)</f>
        <v>-9.941077508957008E-7</v>
      </c>
      <c r="X79" s="36">
        <f>bdrate($D79:$D82,G79:G82,$L79:$L82,O79:O82)</f>
        <v>-1.005741523285586E-6</v>
      </c>
      <c r="Y79" s="30">
        <f>bdrateOld($D79:$D82,E79:E82,$L79:$L82,M79:M82)</f>
        <v>-1.1283195836542248E-6</v>
      </c>
      <c r="Z79" s="35">
        <f>bdrateOld($D79:$D82,F79:F82,$L79:$L82,N79:N82)</f>
        <v>-1.0246974218031113E-6</v>
      </c>
      <c r="AA79" s="36">
        <f>bdrateOld($D79:$D82,G79:G82,$L79:$L82,O79:O82)</f>
        <v>-1.0284531183346601E-6</v>
      </c>
    </row>
    <row r="80" spans="1:27" x14ac:dyDescent="0.2">
      <c r="A80" s="25" t="s">
        <v>101</v>
      </c>
      <c r="B80" s="25"/>
      <c r="C80" s="25">
        <v>27</v>
      </c>
      <c r="D80" s="12">
        <f>Reference!B78</f>
        <v>2057.1680000000001</v>
      </c>
      <c r="E80" s="13">
        <f>Reference!C78</f>
        <v>41.846400000000003</v>
      </c>
      <c r="F80" s="13">
        <f>Reference!D78</f>
        <v>45.1584</v>
      </c>
      <c r="G80" s="13">
        <f>Reference!E78</f>
        <v>46.421799999999998</v>
      </c>
      <c r="H80" s="13">
        <f>Reference!F78</f>
        <v>9155.1901059100001</v>
      </c>
      <c r="I80" s="13">
        <f>Reference!G78</f>
        <v>8.1961121559100008</v>
      </c>
      <c r="J80" s="14">
        <f t="shared" si="8"/>
        <v>2.5431083627527777</v>
      </c>
      <c r="L80" s="12">
        <f>Test!B78</f>
        <v>2057.1664000000001</v>
      </c>
      <c r="M80" s="13">
        <f>Test!C78</f>
        <v>41.846400000000003</v>
      </c>
      <c r="N80" s="13">
        <f>Test!D78</f>
        <v>45.1584</v>
      </c>
      <c r="O80" s="13">
        <f>Test!E78</f>
        <v>46.421799999999998</v>
      </c>
      <c r="P80" s="13">
        <f>Test!F78</f>
        <v>9039.6513311800009</v>
      </c>
      <c r="Q80" s="13">
        <f>Test!G78</f>
        <v>7.7371881008100001</v>
      </c>
      <c r="R80" s="14">
        <f t="shared" si="9"/>
        <v>2.5110142586611115</v>
      </c>
      <c r="S80" s="13">
        <f t="shared" si="10"/>
        <v>0.98737996989757593</v>
      </c>
      <c r="T80" s="13">
        <f t="shared" si="11"/>
        <v>0.94400710405492894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Reference!B79</f>
        <v>1271.7375999999999</v>
      </c>
      <c r="E81" s="13">
        <f>Reference!C79</f>
        <v>39.0291</v>
      </c>
      <c r="F81" s="13">
        <f>Reference!D79</f>
        <v>43.435699999999997</v>
      </c>
      <c r="G81" s="13">
        <f>Reference!E79</f>
        <v>44.607900000000001</v>
      </c>
      <c r="H81" s="13">
        <f>Reference!F79</f>
        <v>6539.4606599799999</v>
      </c>
      <c r="I81" s="13">
        <f>Reference!G79</f>
        <v>7.1607398986800002</v>
      </c>
      <c r="J81" s="14">
        <f t="shared" si="8"/>
        <v>1.8165168499944444</v>
      </c>
      <c r="L81" s="12">
        <f>Test!B79</f>
        <v>1271.7360000000001</v>
      </c>
      <c r="M81" s="13">
        <f>Test!C79</f>
        <v>39.0291</v>
      </c>
      <c r="N81" s="13">
        <f>Test!D79</f>
        <v>43.435699999999997</v>
      </c>
      <c r="O81" s="13">
        <f>Test!E79</f>
        <v>44.607900000000001</v>
      </c>
      <c r="P81" s="13">
        <f>Test!F79</f>
        <v>6428.6598007700004</v>
      </c>
      <c r="Q81" s="13">
        <f>Test!G79</f>
        <v>7.42469596863</v>
      </c>
      <c r="R81" s="14">
        <f t="shared" si="9"/>
        <v>1.7857388335472224</v>
      </c>
      <c r="S81" s="13">
        <f t="shared" si="10"/>
        <v>0.98305657530932555</v>
      </c>
      <c r="T81" s="13">
        <f t="shared" si="11"/>
        <v>1.0368615637049821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Reference!B80</f>
        <v>768.90319999999997</v>
      </c>
      <c r="E82" s="17">
        <f>Reference!C80</f>
        <v>35.875500000000002</v>
      </c>
      <c r="F82" s="17">
        <f>Reference!D80</f>
        <v>42.090699999999998</v>
      </c>
      <c r="G82" s="17">
        <f>Reference!E80</f>
        <v>43.216799999999999</v>
      </c>
      <c r="H82" s="17">
        <f>Reference!F80</f>
        <v>4192.6571509799996</v>
      </c>
      <c r="I82" s="17">
        <f>Reference!G80</f>
        <v>6.2318570613900004</v>
      </c>
      <c r="J82" s="18">
        <f t="shared" si="8"/>
        <v>1.1646269863833332</v>
      </c>
      <c r="L82" s="16">
        <f>Test!B80</f>
        <v>768.90160000000003</v>
      </c>
      <c r="M82" s="17">
        <f>Test!C80</f>
        <v>35.875500000000002</v>
      </c>
      <c r="N82" s="17">
        <f>Test!D80</f>
        <v>42.090699999999998</v>
      </c>
      <c r="O82" s="17">
        <f>Test!E80</f>
        <v>43.216799999999999</v>
      </c>
      <c r="P82" s="17">
        <f>Test!F80</f>
        <v>4167.0864179099999</v>
      </c>
      <c r="Q82" s="17">
        <f>Test!G80</f>
        <v>5.8250961303700004</v>
      </c>
      <c r="R82" s="18">
        <f t="shared" si="9"/>
        <v>1.157524004975</v>
      </c>
      <c r="S82" s="13">
        <f t="shared" si="10"/>
        <v>0.99390106747363716</v>
      </c>
      <c r="T82" s="13">
        <f t="shared" si="11"/>
        <v>0.93472877715053482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79</v>
      </c>
      <c r="C83" s="24">
        <v>22</v>
      </c>
      <c r="D83" s="9">
        <f>Reference!B81</f>
        <v>2258.3496</v>
      </c>
      <c r="E83" s="10">
        <f>Reference!C81</f>
        <v>44.493200000000002</v>
      </c>
      <c r="F83" s="10">
        <f>Reference!D81</f>
        <v>48.593800000000002</v>
      </c>
      <c r="G83" s="10">
        <f>Reference!E81</f>
        <v>49.2958</v>
      </c>
      <c r="H83" s="10">
        <f>Reference!F81</f>
        <v>10413.7534149</v>
      </c>
      <c r="I83" s="10">
        <f>Reference!G81</f>
        <v>7.4429078102100004</v>
      </c>
      <c r="J83" s="11">
        <f t="shared" si="8"/>
        <v>2.8927092819166669</v>
      </c>
      <c r="L83" s="9">
        <f>Test!B81</f>
        <v>2258.348</v>
      </c>
      <c r="M83" s="10">
        <f>Test!C81</f>
        <v>44.493200000000002</v>
      </c>
      <c r="N83" s="10">
        <f>Test!D81</f>
        <v>48.593800000000002</v>
      </c>
      <c r="O83" s="10">
        <f>Test!E81</f>
        <v>49.2958</v>
      </c>
      <c r="P83" s="10">
        <f>Test!F81</f>
        <v>10261.652662799999</v>
      </c>
      <c r="Q83" s="10">
        <f>Test!G81</f>
        <v>7.1879370212599998</v>
      </c>
      <c r="R83" s="11">
        <f t="shared" si="9"/>
        <v>2.8504590729999997</v>
      </c>
      <c r="S83" s="13">
        <f t="shared" si="10"/>
        <v>0.98539424297464395</v>
      </c>
      <c r="T83" s="13">
        <f t="shared" si="11"/>
        <v>0.96574312144505703</v>
      </c>
      <c r="U83" s="48"/>
      <c r="V83" s="30">
        <f>bdrate($D83:$D86,E83:E86,$L83:$L86,M83:M86)</f>
        <v>-1.9673346338677788E-6</v>
      </c>
      <c r="W83" s="35">
        <f>bdrate($D83:$D86,F83:F86,$L83:$L86,N83:N86)</f>
        <v>-1.7878071573163012E-6</v>
      </c>
      <c r="X83" s="35">
        <f>bdrate($D83:$D86,G83:G86,$L83:$L86,O83:O86)</f>
        <v>-1.7914864858248336E-6</v>
      </c>
      <c r="Y83" s="33">
        <f>bdrateOld($D83:$D86,E83:E86,$L83:$L86,M83:M86)</f>
        <v>-1.965996486053001E-6</v>
      </c>
      <c r="Z83" s="37">
        <f>bdrateOld($D83:$D86,F83:F86,$L83:$L86,N83:N86)</f>
        <v>-1.7988573342009317E-6</v>
      </c>
      <c r="AA83" s="38">
        <f>bdrateOld($D83:$D86,G83:G86,$L83:$L86,O83:O86)</f>
        <v>-1.8027487761473893E-6</v>
      </c>
    </row>
    <row r="84" spans="1:27" x14ac:dyDescent="0.2">
      <c r="A84" s="25"/>
      <c r="B84" s="25"/>
      <c r="C84" s="25">
        <v>27</v>
      </c>
      <c r="D84" s="12">
        <f>Reference!B82</f>
        <v>1256.5368000000001</v>
      </c>
      <c r="E84" s="13">
        <f>Reference!C82</f>
        <v>42.378</v>
      </c>
      <c r="F84" s="13">
        <f>Reference!D82</f>
        <v>46.699300000000001</v>
      </c>
      <c r="G84" s="13">
        <f>Reference!E82</f>
        <v>47.481099999999998</v>
      </c>
      <c r="H84" s="13">
        <f>Reference!F82</f>
        <v>6329.8343362799997</v>
      </c>
      <c r="I84" s="13">
        <f>Reference!G82</f>
        <v>6.4397280216199997</v>
      </c>
      <c r="J84" s="14">
        <f t="shared" si="8"/>
        <v>1.7582873156333332</v>
      </c>
      <c r="L84" s="12">
        <f>Test!B82</f>
        <v>1256.5352</v>
      </c>
      <c r="M84" s="13">
        <f>Test!C82</f>
        <v>42.378</v>
      </c>
      <c r="N84" s="13">
        <f>Test!D82</f>
        <v>46.699300000000001</v>
      </c>
      <c r="O84" s="13">
        <f>Test!E82</f>
        <v>47.481099999999998</v>
      </c>
      <c r="P84" s="13">
        <f>Test!F82</f>
        <v>6195.9468319400003</v>
      </c>
      <c r="Q84" s="13">
        <f>Test!G82</f>
        <v>6.6174738407099998</v>
      </c>
      <c r="R84" s="14">
        <f t="shared" si="9"/>
        <v>1.7210963422055556</v>
      </c>
      <c r="S84" s="13">
        <f t="shared" si="10"/>
        <v>0.9788481819227699</v>
      </c>
      <c r="T84" s="13">
        <f t="shared" si="11"/>
        <v>1.0276014481501792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Reference!B83</f>
        <v>715.98800000000006</v>
      </c>
      <c r="E85" s="13">
        <f>Reference!C83</f>
        <v>40.086300000000001</v>
      </c>
      <c r="F85" s="13">
        <f>Reference!D83</f>
        <v>45.019799999999996</v>
      </c>
      <c r="G85" s="13">
        <f>Reference!E83</f>
        <v>45.735599999999998</v>
      </c>
      <c r="H85" s="13">
        <f>Reference!F83</f>
        <v>4170.1460022900001</v>
      </c>
      <c r="I85" s="13">
        <f>Reference!G83</f>
        <v>5.7478990554799996</v>
      </c>
      <c r="J85" s="14">
        <f t="shared" si="8"/>
        <v>1.158373889525</v>
      </c>
      <c r="L85" s="12">
        <f>Test!B83</f>
        <v>715.9864</v>
      </c>
      <c r="M85" s="13">
        <f>Test!C83</f>
        <v>40.086300000000001</v>
      </c>
      <c r="N85" s="13">
        <f>Test!D83</f>
        <v>45.019799999999996</v>
      </c>
      <c r="O85" s="13">
        <f>Test!E83</f>
        <v>45.735599999999998</v>
      </c>
      <c r="P85" s="13">
        <f>Test!F83</f>
        <v>4104.95289159</v>
      </c>
      <c r="Q85" s="13">
        <f>Test!G83</f>
        <v>5.5858530998199996</v>
      </c>
      <c r="R85" s="14">
        <f t="shared" si="9"/>
        <v>1.1402646921083333</v>
      </c>
      <c r="S85" s="13">
        <f t="shared" si="10"/>
        <v>0.98436670786485658</v>
      </c>
      <c r="T85" s="13">
        <f t="shared" si="11"/>
        <v>0.971807793752831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Reference!B84</f>
        <v>411.78160000000003</v>
      </c>
      <c r="E86" s="17">
        <f>Reference!C84</f>
        <v>37.51</v>
      </c>
      <c r="F86" s="17">
        <f>Reference!D84</f>
        <v>43.570999999999998</v>
      </c>
      <c r="G86" s="17">
        <f>Reference!E84</f>
        <v>44.326700000000002</v>
      </c>
      <c r="H86" s="17">
        <f>Reference!F84</f>
        <v>2367.4930987399998</v>
      </c>
      <c r="I86" s="17">
        <f>Reference!G84</f>
        <v>5.2979090213799997</v>
      </c>
      <c r="J86" s="18">
        <f t="shared" si="8"/>
        <v>0.65763697187222214</v>
      </c>
      <c r="L86" s="16">
        <f>Test!B84</f>
        <v>411.78</v>
      </c>
      <c r="M86" s="17">
        <f>Test!C84</f>
        <v>37.51</v>
      </c>
      <c r="N86" s="17">
        <f>Test!D84</f>
        <v>43.570999999999998</v>
      </c>
      <c r="O86" s="17">
        <f>Test!E84</f>
        <v>44.326700000000002</v>
      </c>
      <c r="P86" s="17">
        <f>Test!F84</f>
        <v>2326.8528859600001</v>
      </c>
      <c r="Q86" s="17">
        <f>Test!G84</f>
        <v>4.9097468852999997</v>
      </c>
      <c r="R86" s="18">
        <f t="shared" si="9"/>
        <v>0.64634802387777779</v>
      </c>
      <c r="S86" s="13">
        <f t="shared" si="10"/>
        <v>0.98283407339112039</v>
      </c>
      <c r="T86" s="13">
        <f t="shared" si="11"/>
        <v>0.92673295548988277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80</v>
      </c>
      <c r="C87" s="24">
        <v>22</v>
      </c>
      <c r="D87" s="9">
        <f>Reference!B85</f>
        <v>2470.8888000000002</v>
      </c>
      <c r="E87" s="10">
        <f>Reference!C85</f>
        <v>44.883299999999998</v>
      </c>
      <c r="F87" s="10">
        <f>Reference!D85</f>
        <v>47.971499999999999</v>
      </c>
      <c r="G87" s="10">
        <f>Reference!E85</f>
        <v>48.888599999999997</v>
      </c>
      <c r="H87" s="10">
        <f>Reference!F85</f>
        <v>10869.9657969</v>
      </c>
      <c r="I87" s="10">
        <f>Reference!G85</f>
        <v>8.2438549995399999</v>
      </c>
      <c r="J87" s="11">
        <f t="shared" si="8"/>
        <v>3.0194349435833332</v>
      </c>
      <c r="L87" s="9">
        <f>Test!B85</f>
        <v>2470.8872000000001</v>
      </c>
      <c r="M87" s="10">
        <f>Test!C85</f>
        <v>44.883299999999998</v>
      </c>
      <c r="N87" s="10">
        <f>Test!D85</f>
        <v>47.971499999999999</v>
      </c>
      <c r="O87" s="10">
        <f>Test!E85</f>
        <v>48.888599999999997</v>
      </c>
      <c r="P87" s="10">
        <f>Test!F85</f>
        <v>10710.555826</v>
      </c>
      <c r="Q87" s="10">
        <f>Test!G85</f>
        <v>8.2698891162900008</v>
      </c>
      <c r="R87" s="11">
        <f t="shared" si="9"/>
        <v>2.9751543961111109</v>
      </c>
      <c r="S87" s="13">
        <f t="shared" si="10"/>
        <v>0.98533482313757947</v>
      </c>
      <c r="T87" s="13">
        <f t="shared" si="11"/>
        <v>1.0031580027488904</v>
      </c>
      <c r="U87" s="48"/>
      <c r="V87" s="30">
        <f>bdrate($D87:$D90,E87:E90,$L87:$L90,M87:M90)</f>
        <v>-1.5854508480517282E-6</v>
      </c>
      <c r="W87" s="35">
        <f>bdrate($D87:$D90,F87:F90,$L87:$L90,N87:N90)</f>
        <v>-1.3959713290878639E-6</v>
      </c>
      <c r="X87" s="35">
        <f>bdrate($D87:$D90,G87:G90,$L87:$L90,O87:O90)</f>
        <v>-1.421176302196514E-6</v>
      </c>
      <c r="Y87" s="33">
        <f>bdrateOld($D87:$D90,E87:E90,$L87:$L90,M87:M90)</f>
        <v>-1.583737291754872E-6</v>
      </c>
      <c r="Z87" s="37">
        <f>bdrateOld($D87:$D90,F87:F90,$L87:$L90,N87:N90)</f>
        <v>-1.4028631876161768E-6</v>
      </c>
      <c r="AA87" s="38">
        <f>bdrateOld($D87:$D90,G87:G90,$L87:$L90,O87:O90)</f>
        <v>-1.4340560775538691E-6</v>
      </c>
    </row>
    <row r="88" spans="1:27" x14ac:dyDescent="0.2">
      <c r="A88" s="25"/>
      <c r="B88" s="25"/>
      <c r="C88" s="25">
        <v>27</v>
      </c>
      <c r="D88" s="12">
        <f>Reference!B86</f>
        <v>1484.9143999999999</v>
      </c>
      <c r="E88" s="13">
        <f>Reference!C86</f>
        <v>42.658799999999999</v>
      </c>
      <c r="F88" s="13">
        <f>Reference!D86</f>
        <v>45.876300000000001</v>
      </c>
      <c r="G88" s="13">
        <f>Reference!E86</f>
        <v>46.953400000000002</v>
      </c>
      <c r="H88" s="13">
        <f>Reference!F86</f>
        <v>6481.1785733699999</v>
      </c>
      <c r="I88" s="13">
        <f>Reference!G86</f>
        <v>7.12714910507</v>
      </c>
      <c r="J88" s="14">
        <f t="shared" si="8"/>
        <v>1.8003273814916667</v>
      </c>
      <c r="L88" s="12">
        <f>Test!B86</f>
        <v>1484.9128000000001</v>
      </c>
      <c r="M88" s="13">
        <f>Test!C86</f>
        <v>42.658799999999999</v>
      </c>
      <c r="N88" s="13">
        <f>Test!D86</f>
        <v>45.876300000000001</v>
      </c>
      <c r="O88" s="13">
        <f>Test!E86</f>
        <v>46.953400000000002</v>
      </c>
      <c r="P88" s="13">
        <f>Test!F86</f>
        <v>6369.2578699599999</v>
      </c>
      <c r="Q88" s="13">
        <f>Test!G86</f>
        <v>6.9448719024700001</v>
      </c>
      <c r="R88" s="14">
        <f t="shared" si="9"/>
        <v>1.7692382972111111</v>
      </c>
      <c r="S88" s="13">
        <f t="shared" si="10"/>
        <v>0.98273142729474205</v>
      </c>
      <c r="T88" s="13">
        <f t="shared" si="11"/>
        <v>0.9744249488943153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Reference!B87</f>
        <v>900.11279999999999</v>
      </c>
      <c r="E89" s="13">
        <f>Reference!C87</f>
        <v>40.0961</v>
      </c>
      <c r="F89" s="13">
        <f>Reference!D87</f>
        <v>44.151000000000003</v>
      </c>
      <c r="G89" s="13">
        <f>Reference!E87</f>
        <v>45.242100000000001</v>
      </c>
      <c r="H89" s="13">
        <f>Reference!F87</f>
        <v>4370.0483284000002</v>
      </c>
      <c r="I89" s="13">
        <f>Reference!G87</f>
        <v>6.5020689964300002</v>
      </c>
      <c r="J89" s="14">
        <f t="shared" si="8"/>
        <v>1.2139023134444444</v>
      </c>
      <c r="L89" s="12">
        <f>Test!B87</f>
        <v>900.11120000000005</v>
      </c>
      <c r="M89" s="13">
        <f>Test!C87</f>
        <v>40.0961</v>
      </c>
      <c r="N89" s="13">
        <f>Test!D87</f>
        <v>44.151000000000003</v>
      </c>
      <c r="O89" s="13">
        <f>Test!E87</f>
        <v>45.242100000000001</v>
      </c>
      <c r="P89" s="13">
        <f>Test!F87</f>
        <v>4336.0935237399999</v>
      </c>
      <c r="Q89" s="13">
        <f>Test!G87</f>
        <v>6.0750069618199998</v>
      </c>
      <c r="R89" s="14">
        <f t="shared" si="9"/>
        <v>1.204470423261111</v>
      </c>
      <c r="S89" s="13">
        <f t="shared" si="10"/>
        <v>0.9922301077451855</v>
      </c>
      <c r="T89" s="13">
        <f t="shared" si="11"/>
        <v>0.93431905523542103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Reference!B88</f>
        <v>545.25040000000001</v>
      </c>
      <c r="E90" s="17">
        <f>Reference!C88</f>
        <v>37.249400000000001</v>
      </c>
      <c r="F90" s="17">
        <f>Reference!D88</f>
        <v>42.816699999999997</v>
      </c>
      <c r="G90" s="17">
        <f>Reference!E88</f>
        <v>43.885899999999999</v>
      </c>
      <c r="H90" s="17">
        <f>Reference!F88</f>
        <v>2754.8671357600001</v>
      </c>
      <c r="I90" s="17">
        <f>Reference!G88</f>
        <v>5.5780270099599996</v>
      </c>
      <c r="J90" s="18">
        <f t="shared" si="8"/>
        <v>0.76524087104444449</v>
      </c>
      <c r="L90" s="16">
        <f>Test!B88</f>
        <v>545.24879999999996</v>
      </c>
      <c r="M90" s="17">
        <f>Test!C88</f>
        <v>37.249400000000001</v>
      </c>
      <c r="N90" s="17">
        <f>Test!D88</f>
        <v>42.816699999999997</v>
      </c>
      <c r="O90" s="17">
        <f>Test!E88</f>
        <v>43.885899999999999</v>
      </c>
      <c r="P90" s="17">
        <f>Test!F88</f>
        <v>2732.8645613200001</v>
      </c>
      <c r="Q90" s="17">
        <f>Test!G88</f>
        <v>5.5787780284900004</v>
      </c>
      <c r="R90" s="18">
        <f t="shared" si="9"/>
        <v>0.7591290448111111</v>
      </c>
      <c r="S90" s="13">
        <f t="shared" si="10"/>
        <v>0.9920131994191691</v>
      </c>
      <c r="T90" s="13">
        <f t="shared" si="11"/>
        <v>1.0001346387403036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102</v>
      </c>
      <c r="B91" s="24" t="s">
        <v>81</v>
      </c>
      <c r="C91" s="24">
        <v>22</v>
      </c>
      <c r="D91" s="9">
        <f>Reference!B89</f>
        <v>2506.5864999999999</v>
      </c>
      <c r="E91" s="10">
        <f>Reference!C89</f>
        <v>42.5383</v>
      </c>
      <c r="F91" s="10">
        <f>Reference!D89</f>
        <v>43.904299999999999</v>
      </c>
      <c r="G91" s="10">
        <f>Reference!E89</f>
        <v>44.639099999999999</v>
      </c>
      <c r="H91" s="10">
        <f>Reference!F89</f>
        <v>7093.5192630299998</v>
      </c>
      <c r="I91" s="10">
        <f>Reference!G89</f>
        <v>5.2140130996699998</v>
      </c>
      <c r="J91" s="11">
        <f t="shared" si="8"/>
        <v>1.9704220175083333</v>
      </c>
      <c r="L91" s="9">
        <f>Test!B89</f>
        <v>2506.5848999999998</v>
      </c>
      <c r="M91" s="10">
        <f>Test!C89</f>
        <v>42.5383</v>
      </c>
      <c r="N91" s="10">
        <f>Test!D89</f>
        <v>43.904299999999999</v>
      </c>
      <c r="O91" s="10">
        <f>Test!E89</f>
        <v>44.639099999999999</v>
      </c>
      <c r="P91" s="10">
        <f>Test!F89</f>
        <v>6897.2317116200002</v>
      </c>
      <c r="Q91" s="10">
        <f>Test!G89</f>
        <v>5.1693079471600001</v>
      </c>
      <c r="R91" s="11">
        <f t="shared" si="9"/>
        <v>1.9158976976722222</v>
      </c>
      <c r="S91" s="10">
        <f t="shared" si="10"/>
        <v>0.97232860810951616</v>
      </c>
      <c r="T91" s="10">
        <f t="shared" si="11"/>
        <v>0.99142596083756884</v>
      </c>
      <c r="U91" s="47"/>
      <c r="V91" s="30">
        <f>bdrate($D91:$D94,E91:E94,$L91:$L94,M91:M94)</f>
        <v>-1.5895835671075886E-6</v>
      </c>
      <c r="W91" s="35">
        <f>bdrate($D91:$D94,F91:F94,$L91:$L94,N91:N94)</f>
        <v>-1.4623342302622078E-6</v>
      </c>
      <c r="X91" s="36">
        <f>bdrate($D91:$D94,G91:G94,$L91:$L94,O91:O94)</f>
        <v>-1.4770440476263857E-6</v>
      </c>
      <c r="Y91" s="30">
        <f>bdrateOld($D91:$D94,E91:E94,$L91:$L94,M91:M94)</f>
        <v>-1.591622562635564E-6</v>
      </c>
      <c r="Z91" s="35">
        <f>bdrateOld($D91:$D94,F91:F94,$L91:$L94,N91:N94)</f>
        <v>-1.4766767161278338E-6</v>
      </c>
      <c r="AA91" s="36">
        <f>bdrateOld($D91:$D94,G91:G94,$L91:$L94,O91:O94)</f>
        <v>-1.4914253442244174E-6</v>
      </c>
    </row>
    <row r="92" spans="1:27" x14ac:dyDescent="0.2">
      <c r="A92" s="25"/>
      <c r="B92" s="25"/>
      <c r="C92" s="25">
        <v>27</v>
      </c>
      <c r="D92" s="12">
        <f>Reference!B90</f>
        <v>1424.377</v>
      </c>
      <c r="E92" s="13">
        <f>Reference!C90</f>
        <v>39.049900000000001</v>
      </c>
      <c r="F92" s="13">
        <f>Reference!D90</f>
        <v>41.103499999999997</v>
      </c>
      <c r="G92" s="13">
        <f>Reference!E90</f>
        <v>41.618299999999998</v>
      </c>
      <c r="H92" s="13">
        <f>Reference!F90</f>
        <v>5435.0498011099999</v>
      </c>
      <c r="I92" s="13">
        <f>Reference!G90</f>
        <v>4.2917501926400003</v>
      </c>
      <c r="J92" s="14">
        <f t="shared" si="8"/>
        <v>1.5097360558638888</v>
      </c>
      <c r="L92" s="12">
        <f>Test!B90</f>
        <v>1424.3753999999999</v>
      </c>
      <c r="M92" s="13">
        <f>Test!C90</f>
        <v>39.049900000000001</v>
      </c>
      <c r="N92" s="13">
        <f>Test!D90</f>
        <v>41.103499999999997</v>
      </c>
      <c r="O92" s="13">
        <f>Test!E90</f>
        <v>41.618299999999998</v>
      </c>
      <c r="P92" s="13">
        <f>Test!F90</f>
        <v>5370.0321559900003</v>
      </c>
      <c r="Q92" s="13">
        <f>Test!G90</f>
        <v>4.1561260223399996</v>
      </c>
      <c r="R92" s="14">
        <f t="shared" si="9"/>
        <v>1.4916755988861112</v>
      </c>
      <c r="S92" s="13">
        <f t="shared" si="10"/>
        <v>0.98803734142293953</v>
      </c>
      <c r="T92" s="13">
        <f t="shared" si="11"/>
        <v>0.96839886661330266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Reference!B91</f>
        <v>823.11109999999996</v>
      </c>
      <c r="E93" s="13">
        <f>Reference!C91</f>
        <v>35.975099999999998</v>
      </c>
      <c r="F93" s="13">
        <f>Reference!D91</f>
        <v>39.0306</v>
      </c>
      <c r="G93" s="13">
        <f>Reference!E91</f>
        <v>39.400100000000002</v>
      </c>
      <c r="H93" s="13">
        <f>Reference!F91</f>
        <v>3847.4192979300001</v>
      </c>
      <c r="I93" s="13">
        <f>Reference!G91</f>
        <v>3.3964438438400002</v>
      </c>
      <c r="J93" s="14">
        <f t="shared" si="8"/>
        <v>1.0687275827583333</v>
      </c>
      <c r="L93" s="12">
        <f>Test!B91</f>
        <v>823.10950000000003</v>
      </c>
      <c r="M93" s="13">
        <f>Test!C91</f>
        <v>35.975099999999998</v>
      </c>
      <c r="N93" s="13">
        <f>Test!D91</f>
        <v>39.0306</v>
      </c>
      <c r="O93" s="13">
        <f>Test!E91</f>
        <v>39.400100000000002</v>
      </c>
      <c r="P93" s="13">
        <f>Test!F91</f>
        <v>3797.6918776000002</v>
      </c>
      <c r="Q93" s="13">
        <f>Test!G91</f>
        <v>3.11094689369</v>
      </c>
      <c r="R93" s="14">
        <f t="shared" si="9"/>
        <v>1.0549144104444446</v>
      </c>
      <c r="S93" s="13">
        <f t="shared" si="10"/>
        <v>0.98707512322435087</v>
      </c>
      <c r="T93" s="13">
        <f t="shared" si="11"/>
        <v>0.91594239054833926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Reference!B92</f>
        <v>482.38490000000002</v>
      </c>
      <c r="E94" s="17">
        <f>Reference!C92</f>
        <v>33.044800000000002</v>
      </c>
      <c r="F94" s="17">
        <f>Reference!D92</f>
        <v>37.453099999999999</v>
      </c>
      <c r="G94" s="17">
        <f>Reference!E92</f>
        <v>37.612400000000001</v>
      </c>
      <c r="H94" s="17">
        <f>Reference!F92</f>
        <v>2412.7695818000002</v>
      </c>
      <c r="I94" s="17">
        <f>Reference!G92</f>
        <v>3.0954880714400002</v>
      </c>
      <c r="J94" s="18">
        <f t="shared" si="8"/>
        <v>0.67021377272222227</v>
      </c>
      <c r="L94" s="16">
        <f>Test!B92</f>
        <v>482.38330000000002</v>
      </c>
      <c r="M94" s="17">
        <f>Test!C92</f>
        <v>33.044800000000002</v>
      </c>
      <c r="N94" s="17">
        <f>Test!D92</f>
        <v>37.453099999999999</v>
      </c>
      <c r="O94" s="17">
        <f>Test!E92</f>
        <v>37.612400000000001</v>
      </c>
      <c r="P94" s="17">
        <f>Test!F92</f>
        <v>2375.9664392499999</v>
      </c>
      <c r="Q94" s="17">
        <f>Test!G92</f>
        <v>2.5947120189700001</v>
      </c>
      <c r="R94" s="18">
        <f t="shared" si="9"/>
        <v>0.65999067756944441</v>
      </c>
      <c r="S94" s="13">
        <f t="shared" si="10"/>
        <v>0.98474651585977635</v>
      </c>
      <c r="T94" s="13">
        <f t="shared" si="11"/>
        <v>0.83822387910639162</v>
      </c>
      <c r="U94" s="48"/>
      <c r="V94" s="32"/>
      <c r="W94" s="44"/>
      <c r="X94" s="45"/>
      <c r="Y94" s="32"/>
      <c r="Z94" s="44"/>
      <c r="AA94" s="45"/>
    </row>
    <row r="95" spans="1:27" ht="12.75" customHeight="1" thickBot="1" x14ac:dyDescent="0.25">
      <c r="A95" s="25"/>
      <c r="B95" s="26"/>
      <c r="C95" s="24">
        <v>22</v>
      </c>
      <c r="D95" s="9">
        <f>Reference!B93</f>
        <v>11682.265600000001</v>
      </c>
      <c r="E95" s="10">
        <f>Reference!C93</f>
        <v>44.211199999999998</v>
      </c>
      <c r="F95" s="10">
        <f>Reference!D93</f>
        <v>45.18</v>
      </c>
      <c r="G95" s="10">
        <f>Reference!E93</f>
        <v>45.791800000000002</v>
      </c>
      <c r="H95" s="10">
        <f>Reference!F93</f>
        <v>36488.945672299997</v>
      </c>
      <c r="I95" s="10">
        <f>Reference!G93</f>
        <v>30.069167137099999</v>
      </c>
      <c r="J95" s="11">
        <f t="shared" si="8"/>
        <v>10.135818242305554</v>
      </c>
      <c r="L95" s="9">
        <f>Test!B93</f>
        <v>11682.263999999999</v>
      </c>
      <c r="M95" s="10">
        <f>Test!C93</f>
        <v>44.211199999999998</v>
      </c>
      <c r="N95" s="10">
        <f>Test!D93</f>
        <v>45.18</v>
      </c>
      <c r="O95" s="10">
        <f>Test!E93</f>
        <v>45.791800000000002</v>
      </c>
      <c r="P95" s="10">
        <f>Test!F93</f>
        <v>36343.385431299997</v>
      </c>
      <c r="Q95" s="10">
        <f>Test!G93</f>
        <v>28.296892166100001</v>
      </c>
      <c r="R95" s="11">
        <f t="shared" si="9"/>
        <v>10.095384842027777</v>
      </c>
      <c r="S95" s="13">
        <f t="shared" si="10"/>
        <v>0.99601084004160478</v>
      </c>
      <c r="T95" s="13">
        <f t="shared" si="11"/>
        <v>0.94106005786860236</v>
      </c>
      <c r="U95" s="48"/>
      <c r="V95" s="30">
        <f>bdrate($D95:$D98,E95:E98,$L95:$L98,M95:M98)</f>
        <v>-3.390483830356672E-7</v>
      </c>
      <c r="W95" s="35">
        <f>bdrate($D95:$D98,F95:F98,$L95:$L98,N95:N98)</f>
        <v>-3.132773196412586E-7</v>
      </c>
      <c r="X95" s="35">
        <f>bdrate($D95:$D98,G95:G98,$L95:$L98,O95:O98)</f>
        <v>-3.1289664814693197E-7</v>
      </c>
      <c r="Y95" s="33">
        <f>bdrateOld($D95:$D98,E95:E98,$L95:$L98,M95:M98)</f>
        <v>-3.3937730126165633E-7</v>
      </c>
      <c r="Z95" s="37">
        <f>bdrateOld($D95:$D98,F95:F98,$L95:$L98,N95:N98)</f>
        <v>-3.1691025814684082E-7</v>
      </c>
      <c r="AA95" s="38">
        <f>bdrateOld($D95:$D98,G95:G98,$L95:$L98,O95:O98)</f>
        <v>-3.1536433353629434E-7</v>
      </c>
    </row>
    <row r="96" spans="1:27" x14ac:dyDescent="0.2">
      <c r="A96" s="25"/>
      <c r="B96" s="25"/>
      <c r="C96" s="25">
        <v>27</v>
      </c>
      <c r="D96" s="12">
        <f>Reference!B94</f>
        <v>6825.6768000000002</v>
      </c>
      <c r="E96" s="13">
        <f>Reference!C94</f>
        <v>40.688800000000001</v>
      </c>
      <c r="F96" s="13">
        <f>Reference!D94</f>
        <v>42.344099999999997</v>
      </c>
      <c r="G96" s="13">
        <f>Reference!E94</f>
        <v>42.747700000000002</v>
      </c>
      <c r="H96" s="13">
        <f>Reference!F94</f>
        <v>27247.488178200001</v>
      </c>
      <c r="I96" s="13">
        <f>Reference!G94</f>
        <v>24.431778907799998</v>
      </c>
      <c r="J96" s="14">
        <f t="shared" si="8"/>
        <v>7.5687467161666673</v>
      </c>
      <c r="L96" s="12">
        <f>Test!B94</f>
        <v>6825.6751999999997</v>
      </c>
      <c r="M96" s="13">
        <f>Test!C94</f>
        <v>40.688800000000001</v>
      </c>
      <c r="N96" s="13">
        <f>Test!D94</f>
        <v>42.344099999999997</v>
      </c>
      <c r="O96" s="13">
        <f>Test!E94</f>
        <v>42.747700000000002</v>
      </c>
      <c r="P96" s="13">
        <f>Test!F94</f>
        <v>26372.358121099998</v>
      </c>
      <c r="Q96" s="13">
        <f>Test!G94</f>
        <v>22.880189895600001</v>
      </c>
      <c r="R96" s="14">
        <f t="shared" si="9"/>
        <v>7.3256550336388884</v>
      </c>
      <c r="S96" s="13">
        <f t="shared" si="10"/>
        <v>0.96788217499621965</v>
      </c>
      <c r="T96" s="13">
        <f t="shared" si="11"/>
        <v>0.93649299880883241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Reference!B95</f>
        <v>3918.9063999999998</v>
      </c>
      <c r="E97" s="13">
        <f>Reference!C95</f>
        <v>37.4298</v>
      </c>
      <c r="F97" s="13">
        <f>Reference!D95</f>
        <v>40.1768</v>
      </c>
      <c r="G97" s="13">
        <f>Reference!E95</f>
        <v>40.387799999999999</v>
      </c>
      <c r="H97" s="13">
        <f>Reference!F95</f>
        <v>19212.358112099999</v>
      </c>
      <c r="I97" s="13">
        <f>Reference!G95</f>
        <v>20.3439331055</v>
      </c>
      <c r="J97" s="14">
        <f t="shared" si="8"/>
        <v>5.3367661422499992</v>
      </c>
      <c r="L97" s="12">
        <f>Test!B95</f>
        <v>3918.9047999999998</v>
      </c>
      <c r="M97" s="13">
        <f>Test!C95</f>
        <v>37.4298</v>
      </c>
      <c r="N97" s="13">
        <f>Test!D95</f>
        <v>40.1768</v>
      </c>
      <c r="O97" s="13">
        <f>Test!E95</f>
        <v>40.387799999999999</v>
      </c>
      <c r="P97" s="13">
        <f>Test!F95</f>
        <v>18893.626625100002</v>
      </c>
      <c r="Q97" s="13">
        <f>Test!G95</f>
        <v>19.217947959899998</v>
      </c>
      <c r="R97" s="14">
        <f t="shared" si="9"/>
        <v>5.2482296180833341</v>
      </c>
      <c r="S97" s="13">
        <f t="shared" si="10"/>
        <v>0.98341007984859186</v>
      </c>
      <c r="T97" s="13">
        <f t="shared" si="11"/>
        <v>0.94465253401292448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Reference!B96</f>
        <v>2221.7552000000001</v>
      </c>
      <c r="E98" s="17">
        <f>Reference!C96</f>
        <v>34.345300000000002</v>
      </c>
      <c r="F98" s="17">
        <f>Reference!D96</f>
        <v>38.475200000000001</v>
      </c>
      <c r="G98" s="17">
        <f>Reference!E96</f>
        <v>38.572800000000001</v>
      </c>
      <c r="H98" s="17">
        <f>Reference!F96</f>
        <v>11730.200641199999</v>
      </c>
      <c r="I98" s="17">
        <f>Reference!G96</f>
        <v>17.1571478844</v>
      </c>
      <c r="J98" s="18">
        <f t="shared" si="8"/>
        <v>3.258389067</v>
      </c>
      <c r="L98" s="16">
        <f>Test!B96</f>
        <v>2221.7536</v>
      </c>
      <c r="M98" s="17">
        <f>Test!C96</f>
        <v>34.345300000000002</v>
      </c>
      <c r="N98" s="17">
        <f>Test!D96</f>
        <v>38.475200000000001</v>
      </c>
      <c r="O98" s="17">
        <f>Test!E96</f>
        <v>38.572800000000001</v>
      </c>
      <c r="P98" s="17">
        <f>Test!F96</f>
        <v>11533.756294500001</v>
      </c>
      <c r="Q98" s="17">
        <f>Test!G96</f>
        <v>16.7599041462</v>
      </c>
      <c r="R98" s="18">
        <f t="shared" si="9"/>
        <v>3.2038211929166671</v>
      </c>
      <c r="S98" s="13">
        <f t="shared" si="10"/>
        <v>0.98325311282314931</v>
      </c>
      <c r="T98" s="13">
        <f t="shared" si="11"/>
        <v>0.9768467497700366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83</v>
      </c>
      <c r="C99" s="24">
        <v>22</v>
      </c>
      <c r="D99" s="9">
        <f>Reference!B97</f>
        <v>3689.5437000000002</v>
      </c>
      <c r="E99" s="10">
        <f>Reference!C97</f>
        <v>47.0092</v>
      </c>
      <c r="F99" s="10">
        <f>Reference!D97</f>
        <v>45.180900000000001</v>
      </c>
      <c r="G99" s="10">
        <f>Reference!E97</f>
        <v>45.688600000000001</v>
      </c>
      <c r="H99" s="10">
        <f>Reference!F97</f>
        <v>5749.29729271</v>
      </c>
      <c r="I99" s="10">
        <f>Reference!G97</f>
        <v>6.5224330425300003</v>
      </c>
      <c r="J99" s="11">
        <f t="shared" ref="J99:J106" si="12">H99/3600</f>
        <v>1.5970270257527777</v>
      </c>
      <c r="L99" s="9">
        <f>Test!B97</f>
        <v>3689.5421000000001</v>
      </c>
      <c r="M99" s="10">
        <f>Test!C97</f>
        <v>47.0092</v>
      </c>
      <c r="N99" s="10">
        <f>Test!D97</f>
        <v>45.180900000000001</v>
      </c>
      <c r="O99" s="10">
        <f>Test!E97</f>
        <v>45.688600000000001</v>
      </c>
      <c r="P99" s="10">
        <f>Test!F97</f>
        <v>5620.4420199400001</v>
      </c>
      <c r="Q99" s="10">
        <f>Test!G97</f>
        <v>6.4625449180599999</v>
      </c>
      <c r="R99" s="11">
        <f t="shared" ref="R99:R106" si="13">P99/3600</f>
        <v>1.5612338944277777</v>
      </c>
      <c r="S99" s="13">
        <f t="shared" ref="S99:S106" si="14">P99/H99</f>
        <v>0.977587648331669</v>
      </c>
      <c r="T99" s="13">
        <f t="shared" ref="T99:T106" si="15">Q99/I99</f>
        <v>0.99081813119743878</v>
      </c>
      <c r="U99" s="48"/>
      <c r="V99" s="30">
        <f>bdrate($D99:$D102,E99:E102,$L99:$L102,M99:M102)</f>
        <v>-6.5481196798167218E-7</v>
      </c>
      <c r="W99" s="35">
        <f>bdrate($D99:$D102,F99:F102,$L99:$L102,N99:N102)</f>
        <v>-5.7303861411561741E-7</v>
      </c>
      <c r="X99" s="35">
        <f>bdrate($D99:$D102,G99:G102,$L99:$L102,O99:O102)</f>
        <v>-5.8083774334694027E-7</v>
      </c>
      <c r="Y99" s="33">
        <f>bdrateOld($D99:$D102,E99:E102,$L99:$L102,M99:M102)</f>
        <v>-6.5404099236499036E-7</v>
      </c>
      <c r="Z99" s="37">
        <f>bdrateOld($D99:$D102,F99:F102,$L99:$L102,N99:N102)</f>
        <v>-6.4310886560559055E-7</v>
      </c>
      <c r="AA99" s="38">
        <f>bdrateOld($D99:$D102,G99:G102,$L99:$L102,O99:O102)</f>
        <v>-6.3003150729823432E-7</v>
      </c>
    </row>
    <row r="100" spans="1:27" x14ac:dyDescent="0.2">
      <c r="A100" s="25"/>
      <c r="B100" s="25"/>
      <c r="C100" s="25">
        <v>27</v>
      </c>
      <c r="D100" s="12">
        <f>Reference!B98</f>
        <v>2800.5931999999998</v>
      </c>
      <c r="E100" s="13">
        <f>Reference!C98</f>
        <v>42.537500000000001</v>
      </c>
      <c r="F100" s="13">
        <f>Reference!D98</f>
        <v>41.215200000000003</v>
      </c>
      <c r="G100" s="13">
        <f>Reference!E98</f>
        <v>42.174500000000002</v>
      </c>
      <c r="H100" s="13">
        <f>Reference!F98</f>
        <v>4949.7904078900001</v>
      </c>
      <c r="I100" s="13">
        <f>Reference!G98</f>
        <v>5.6498129367800001</v>
      </c>
      <c r="J100" s="14">
        <f t="shared" si="12"/>
        <v>1.3749417799694446</v>
      </c>
      <c r="L100" s="12">
        <f>Test!B98</f>
        <v>2800.5916000000002</v>
      </c>
      <c r="M100" s="13">
        <f>Test!C98</f>
        <v>42.537500000000001</v>
      </c>
      <c r="N100" s="13">
        <f>Test!D98</f>
        <v>41.215200000000003</v>
      </c>
      <c r="O100" s="13">
        <f>Test!E98</f>
        <v>42.174500000000002</v>
      </c>
      <c r="P100" s="13">
        <f>Test!F98</f>
        <v>4852.2019531699998</v>
      </c>
      <c r="Q100" s="13">
        <f>Test!G98</f>
        <v>5.3690938949599998</v>
      </c>
      <c r="R100" s="14">
        <f t="shared" si="13"/>
        <v>1.3478338758805555</v>
      </c>
      <c r="S100" s="13">
        <f t="shared" si="14"/>
        <v>0.98028432586469849</v>
      </c>
      <c r="T100" s="13">
        <f t="shared" si="15"/>
        <v>0.9503135687922456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Reference!B99</f>
        <v>2191.5268000000001</v>
      </c>
      <c r="E101" s="13">
        <f>Reference!C99</f>
        <v>37.972299999999997</v>
      </c>
      <c r="F101" s="13">
        <f>Reference!D99</f>
        <v>39.198300000000003</v>
      </c>
      <c r="G101" s="13">
        <f>Reference!E99</f>
        <v>40.408700000000003</v>
      </c>
      <c r="H101" s="13">
        <f>Reference!F99</f>
        <v>4295.7458014499998</v>
      </c>
      <c r="I101" s="13">
        <f>Reference!G99</f>
        <v>5.0214970111800001</v>
      </c>
      <c r="J101" s="14">
        <f t="shared" si="12"/>
        <v>1.1932627226249999</v>
      </c>
      <c r="L101" s="12">
        <f>Test!B99</f>
        <v>2191.5252999999998</v>
      </c>
      <c r="M101" s="13">
        <f>Test!C99</f>
        <v>37.972299999999997</v>
      </c>
      <c r="N101" s="13">
        <f>Test!D99</f>
        <v>39.198300000000003</v>
      </c>
      <c r="O101" s="13">
        <f>Test!E99</f>
        <v>40.408700000000003</v>
      </c>
      <c r="P101" s="13">
        <f>Test!F99</f>
        <v>4251.9768309700003</v>
      </c>
      <c r="Q101" s="13">
        <f>Test!G99</f>
        <v>4.9657869338999996</v>
      </c>
      <c r="R101" s="14">
        <f t="shared" si="13"/>
        <v>1.1811046752694445</v>
      </c>
      <c r="S101" s="13">
        <f t="shared" si="14"/>
        <v>0.98981108927226891</v>
      </c>
      <c r="T101" s="13">
        <f t="shared" si="15"/>
        <v>0.98890568347328178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Reference!B100</f>
        <v>1609.2971</v>
      </c>
      <c r="E102" s="17">
        <f>Reference!C100</f>
        <v>33.087299999999999</v>
      </c>
      <c r="F102" s="17">
        <f>Reference!D100</f>
        <v>38.269399999999997</v>
      </c>
      <c r="G102" s="17">
        <f>Reference!E100</f>
        <v>39.388500000000001</v>
      </c>
      <c r="H102" s="17">
        <f>Reference!F100</f>
        <v>3754.5675041700001</v>
      </c>
      <c r="I102" s="17">
        <f>Reference!G100</f>
        <v>4.6514928340899999</v>
      </c>
      <c r="J102" s="18">
        <f t="shared" si="12"/>
        <v>1.0429354178250001</v>
      </c>
      <c r="L102" s="16">
        <f>Test!B100</f>
        <v>1609.2954999999999</v>
      </c>
      <c r="M102" s="17">
        <f>Test!C100</f>
        <v>33.087299999999999</v>
      </c>
      <c r="N102" s="17">
        <f>Test!D100</f>
        <v>38.269399999999997</v>
      </c>
      <c r="O102" s="17">
        <f>Test!E100</f>
        <v>39.388500000000001</v>
      </c>
      <c r="P102" s="17">
        <f>Test!F100</f>
        <v>3652.3986177400002</v>
      </c>
      <c r="Q102" s="17">
        <f>Test!G100</f>
        <v>4.5041329860700001</v>
      </c>
      <c r="R102" s="18">
        <f t="shared" si="13"/>
        <v>1.0145551715944445</v>
      </c>
      <c r="S102" s="13">
        <f t="shared" si="14"/>
        <v>0.97278810773370661</v>
      </c>
      <c r="T102" s="13">
        <f t="shared" si="15"/>
        <v>0.96831988067572106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84</v>
      </c>
      <c r="C103" s="24">
        <v>22</v>
      </c>
      <c r="D103" s="9">
        <f>Reference!B101</f>
        <v>592.0127</v>
      </c>
      <c r="E103" s="10">
        <f>Reference!C101</f>
        <v>51.092100000000002</v>
      </c>
      <c r="F103" s="10">
        <f>Reference!D101</f>
        <v>54.044400000000003</v>
      </c>
      <c r="G103" s="10">
        <f>Reference!E101</f>
        <v>54.945599999999999</v>
      </c>
      <c r="H103" s="10">
        <f>Reference!F101</f>
        <v>4013.4422919799999</v>
      </c>
      <c r="I103" s="10">
        <f>Reference!G101</f>
        <v>4.9828679561599998</v>
      </c>
      <c r="J103" s="11">
        <f t="shared" si="12"/>
        <v>1.1148450811055555</v>
      </c>
      <c r="L103" s="9">
        <f>Test!B101</f>
        <v>592.01210000000003</v>
      </c>
      <c r="M103" s="10">
        <f>Test!C101</f>
        <v>51.092100000000002</v>
      </c>
      <c r="N103" s="10">
        <f>Test!D101</f>
        <v>54.044400000000003</v>
      </c>
      <c r="O103" s="10">
        <f>Test!E101</f>
        <v>54.945599999999999</v>
      </c>
      <c r="P103" s="10">
        <f>Test!F101</f>
        <v>3983.83074618</v>
      </c>
      <c r="Q103" s="10">
        <f>Test!G101</f>
        <v>4.8343610763499996</v>
      </c>
      <c r="R103" s="11">
        <f t="shared" si="13"/>
        <v>1.1066196517166667</v>
      </c>
      <c r="S103" s="13">
        <f t="shared" si="14"/>
        <v>0.99262190816617146</v>
      </c>
      <c r="T103" s="13">
        <f t="shared" si="15"/>
        <v>0.97019650508169486</v>
      </c>
      <c r="U103" s="48"/>
      <c r="V103" s="30">
        <f>bdrate($D103:$D106,E103:E106,$L103:$L106,M103:M106)</f>
        <v>-1.9232852128681088E-6</v>
      </c>
      <c r="W103" s="35">
        <f>bdrate($D103:$D106,F103:F106,$L103:$L106,N103:N106)</f>
        <v>-1.7549891169199583E-6</v>
      </c>
      <c r="X103" s="35">
        <f>bdrate($D103:$D106,G103:G106,$L103:$L106,O103:O106)</f>
        <v>-1.7217920930123753E-6</v>
      </c>
      <c r="Y103" s="33">
        <f>bdrateOld($D103:$D106,E103:E106,$L103:$L106,M103:M106)</f>
        <v>-1.9231713019873808E-6</v>
      </c>
      <c r="Z103" s="37">
        <f>bdrateOld($D103:$D106,F103:F106,$L103:$L106,N103:N106)</f>
        <v>-1.7694984552063531E-6</v>
      </c>
      <c r="AA103" s="38">
        <f>bdrateOld($D103:$D106,G103:G106,$L103:$L106,O103:O106)</f>
        <v>-1.7405502660272631E-6</v>
      </c>
    </row>
    <row r="104" spans="1:27" x14ac:dyDescent="0.2">
      <c r="A104" s="25"/>
      <c r="B104" s="25"/>
      <c r="C104" s="25">
        <v>27</v>
      </c>
      <c r="D104" s="12">
        <f>Reference!B102</f>
        <v>401.88760000000002</v>
      </c>
      <c r="E104" s="13">
        <f>Reference!C102</f>
        <v>47.435499999999998</v>
      </c>
      <c r="F104" s="13">
        <f>Reference!D102</f>
        <v>50.684899999999999</v>
      </c>
      <c r="G104" s="13">
        <f>Reference!E102</f>
        <v>51.797699999999999</v>
      </c>
      <c r="H104" s="13">
        <f>Reference!F102</f>
        <v>3026.7307081200001</v>
      </c>
      <c r="I104" s="13">
        <f>Reference!G102</f>
        <v>4.5443911552399996</v>
      </c>
      <c r="J104" s="14">
        <f t="shared" si="12"/>
        <v>0.84075853003333334</v>
      </c>
      <c r="L104" s="12">
        <f>Test!B102</f>
        <v>401.887</v>
      </c>
      <c r="M104" s="13">
        <f>Test!C102</f>
        <v>47.435499999999998</v>
      </c>
      <c r="N104" s="13">
        <f>Test!D102</f>
        <v>50.684899999999999</v>
      </c>
      <c r="O104" s="13">
        <f>Test!E102</f>
        <v>51.797699999999999</v>
      </c>
      <c r="P104" s="13">
        <f>Test!F102</f>
        <v>2962.7882721400001</v>
      </c>
      <c r="Q104" s="13">
        <f>Test!G102</f>
        <v>4.2197470665000001</v>
      </c>
      <c r="R104" s="14">
        <f t="shared" si="13"/>
        <v>0.82299674226111119</v>
      </c>
      <c r="S104" s="13">
        <f t="shared" si="14"/>
        <v>0.97887409150458693</v>
      </c>
      <c r="T104" s="13">
        <f t="shared" si="15"/>
        <v>0.92856158775732534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Reference!B103</f>
        <v>276.12060000000002</v>
      </c>
      <c r="E105" s="13">
        <f>Reference!C103</f>
        <v>43.805900000000001</v>
      </c>
      <c r="F105" s="13">
        <f>Reference!D103</f>
        <v>48.317300000000003</v>
      </c>
      <c r="G105" s="13">
        <f>Reference!E103</f>
        <v>49.739899999999999</v>
      </c>
      <c r="H105" s="13">
        <f>Reference!F103</f>
        <v>2406.8768670600002</v>
      </c>
      <c r="I105" s="13">
        <f>Reference!G103</f>
        <v>4.1376540660899996</v>
      </c>
      <c r="J105" s="14">
        <f t="shared" si="12"/>
        <v>0.66857690751666676</v>
      </c>
      <c r="L105" s="12">
        <f>Test!B103</f>
        <v>276.12</v>
      </c>
      <c r="M105" s="13">
        <f>Test!C103</f>
        <v>43.805900000000001</v>
      </c>
      <c r="N105" s="13">
        <f>Test!D103</f>
        <v>48.317300000000003</v>
      </c>
      <c r="O105" s="13">
        <f>Test!E103</f>
        <v>49.739899999999999</v>
      </c>
      <c r="P105" s="13">
        <f>Test!F103</f>
        <v>2394.8448827299999</v>
      </c>
      <c r="Q105" s="13">
        <f>Test!G103</f>
        <v>4.1674180030799999</v>
      </c>
      <c r="R105" s="14">
        <f t="shared" si="13"/>
        <v>0.66523468964722221</v>
      </c>
      <c r="S105" s="13">
        <f t="shared" si="14"/>
        <v>0.99500099714502743</v>
      </c>
      <c r="T105" s="13">
        <f t="shared" si="15"/>
        <v>1.0071934329246925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Reference!B104</f>
        <v>184.1987</v>
      </c>
      <c r="E106" s="17">
        <f>Reference!C104</f>
        <v>39.963999999999999</v>
      </c>
      <c r="F106" s="17">
        <f>Reference!D104</f>
        <v>46.423200000000001</v>
      </c>
      <c r="G106" s="17">
        <f>Reference!E104</f>
        <v>48.171700000000001</v>
      </c>
      <c r="H106" s="17">
        <f>Reference!F104</f>
        <v>1900.98907328</v>
      </c>
      <c r="I106" s="17">
        <f>Reference!G104</f>
        <v>3.8691489696499999</v>
      </c>
      <c r="J106" s="18">
        <f t="shared" si="12"/>
        <v>0.5280525203555555</v>
      </c>
      <c r="L106" s="16">
        <f>Test!B104</f>
        <v>184.19810000000001</v>
      </c>
      <c r="M106" s="17">
        <f>Test!C104</f>
        <v>39.963999999999999</v>
      </c>
      <c r="N106" s="17">
        <f>Test!D104</f>
        <v>46.423200000000001</v>
      </c>
      <c r="O106" s="17">
        <f>Test!E104</f>
        <v>48.171700000000001</v>
      </c>
      <c r="P106" s="17">
        <f>Test!F104</f>
        <v>1873.7746288799999</v>
      </c>
      <c r="Q106" s="17">
        <f>Test!G104</f>
        <v>3.4915630817399999</v>
      </c>
      <c r="R106" s="18">
        <f t="shared" si="13"/>
        <v>0.5204929524666666</v>
      </c>
      <c r="S106" s="17">
        <f t="shared" si="14"/>
        <v>0.98568406058586977</v>
      </c>
      <c r="T106" s="17">
        <f t="shared" si="15"/>
        <v>0.90241112687264757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10</v>
      </c>
      <c r="I107" s="48">
        <f>GEOMEAN(I3:I14)</f>
        <v>30.914693149280502</v>
      </c>
      <c r="J107" s="48">
        <f>GEOMEAN(J3:J14)</f>
        <v>5.8163613365168336</v>
      </c>
      <c r="Q107" s="48">
        <f>GEOMEAN(Q3:Q14)</f>
        <v>29.987492764959494</v>
      </c>
      <c r="R107" s="48">
        <f>GEOMEAN(R3:R14)</f>
        <v>5.7445315364134002</v>
      </c>
      <c r="S107" s="48">
        <f>GEOMEAN(S3:S14)</f>
        <v>0.98765038897214563</v>
      </c>
      <c r="T107" s="48">
        <f>GEOMEAN(T3:T14)</f>
        <v>0.97000777656618631</v>
      </c>
      <c r="V107" s="30">
        <f t="shared" ref="V107:AA107" si="16">AVERAGE(V3:V14)</f>
        <v>-5.3514874320814698E-7</v>
      </c>
      <c r="W107" s="35">
        <f t="shared" si="16"/>
        <v>-5.3203179258461597E-7</v>
      </c>
      <c r="X107" s="35">
        <f t="shared" si="16"/>
        <v>-5.2620691504134953E-7</v>
      </c>
      <c r="Y107" s="30">
        <f t="shared" si="16"/>
        <v>-5.4629074001481348E-7</v>
      </c>
      <c r="Z107" s="35">
        <f t="shared" si="16"/>
        <v>-5.5884372218706346E-7</v>
      </c>
      <c r="AA107" s="36">
        <f t="shared" si="16"/>
        <v>-5.2110193053215659E-7</v>
      </c>
    </row>
    <row r="108" spans="1:27" x14ac:dyDescent="0.2">
      <c r="B108" s="15" t="s">
        <v>11</v>
      </c>
      <c r="I108" s="48">
        <f>GEOMEAN(I15:I26)</f>
        <v>36.743581937959398</v>
      </c>
      <c r="J108" s="48">
        <f>GEOMEAN(J15:J26)</f>
        <v>10.479387146473464</v>
      </c>
      <c r="Q108" s="48">
        <f>GEOMEAN(Q15:Q26)</f>
        <v>36.556708847016267</v>
      </c>
      <c r="R108" s="48">
        <f>GEOMEAN(R15:R26)</f>
        <v>10.367355030608737</v>
      </c>
      <c r="S108" s="48">
        <f>GEOMEAN(S15:S26)</f>
        <v>0.98930928743266955</v>
      </c>
      <c r="T108" s="48">
        <f>GEOMEAN(T15:T26)</f>
        <v>0.99491412973131843</v>
      </c>
      <c r="V108" s="33">
        <f t="shared" ref="V108:AA108" si="17">AVERAGE(V15:V26)</f>
        <v>-2.5970828643195887E-7</v>
      </c>
      <c r="W108" s="37">
        <f t="shared" si="17"/>
        <v>-2.8054677399709976E-7</v>
      </c>
      <c r="X108" s="37">
        <f t="shared" si="17"/>
        <v>-2.7875094832374714E-7</v>
      </c>
      <c r="Y108" s="33">
        <f t="shared" si="17"/>
        <v>-2.5153234598877344E-7</v>
      </c>
      <c r="Z108" s="37">
        <f t="shared" si="17"/>
        <v>-2.7241737295587615E-7</v>
      </c>
      <c r="AA108" s="38">
        <f t="shared" si="17"/>
        <v>-2.8258350703858071E-7</v>
      </c>
    </row>
    <row r="109" spans="1:27" x14ac:dyDescent="0.2">
      <c r="B109" s="15" t="s">
        <v>12</v>
      </c>
      <c r="I109" s="48">
        <f>GEOMEAN(I27:I46)</f>
        <v>17.469972019015579</v>
      </c>
      <c r="J109" s="48">
        <f>GEOMEAN(J27:J46)</f>
        <v>5.1925017805179081</v>
      </c>
      <c r="Q109" s="48">
        <f>GEOMEAN(Q27:Q46)</f>
        <v>16.759525632129982</v>
      </c>
      <c r="R109" s="48">
        <f>GEOMEAN(R27:R46)</f>
        <v>5.1309649422012233</v>
      </c>
      <c r="S109" s="48">
        <f>GEOMEAN(S27:S46)</f>
        <v>0.98814890376204234</v>
      </c>
      <c r="T109" s="48">
        <f>GEOMEAN(T27:T46)</f>
        <v>0.95933328421406194</v>
      </c>
      <c r="V109" s="33">
        <f t="shared" ref="V109:AA109" si="18">AVERAGE(V27:V46)</f>
        <v>-5.0814030854162691E-7</v>
      </c>
      <c r="W109" s="37">
        <f t="shared" si="18"/>
        <v>-4.6046657873333177E-7</v>
      </c>
      <c r="X109" s="37">
        <f t="shared" si="18"/>
        <v>-4.772979539824362E-7</v>
      </c>
      <c r="Y109" s="33">
        <f t="shared" si="18"/>
        <v>-5.0839010843350965E-7</v>
      </c>
      <c r="Z109" s="37">
        <f t="shared" si="18"/>
        <v>-4.5056600435078308E-7</v>
      </c>
      <c r="AA109" s="38">
        <f t="shared" si="18"/>
        <v>-4.838797739603606E-7</v>
      </c>
    </row>
    <row r="110" spans="1:27" x14ac:dyDescent="0.2">
      <c r="B110" s="15" t="s">
        <v>13</v>
      </c>
      <c r="I110" s="48">
        <f>GEOMEAN(I47:I62)</f>
        <v>3.5957732383867822</v>
      </c>
      <c r="J110" s="48">
        <f>GEOMEAN(J47:J62)</f>
        <v>1.3106193168169435</v>
      </c>
      <c r="Q110" s="48">
        <f>GEOMEAN(Q47:Q62)</f>
        <v>3.5014344587651167</v>
      </c>
      <c r="R110" s="48">
        <f>GEOMEAN(R47:R62)</f>
        <v>1.2938559717132776</v>
      </c>
      <c r="S110" s="48">
        <f>GEOMEAN(S47:S62)</f>
        <v>0.98720960015729187</v>
      </c>
      <c r="T110" s="48">
        <f>GEOMEAN(T47:T62)</f>
        <v>0.97376397971525308</v>
      </c>
      <c r="V110" s="33">
        <f t="shared" ref="V110:AA110" si="19">AVERAGE(V47:V62)</f>
        <v>-1.604691327011798E-6</v>
      </c>
      <c r="W110" s="37">
        <f t="shared" si="19"/>
        <v>-1.4073850906903829E-6</v>
      </c>
      <c r="X110" s="37">
        <f t="shared" si="19"/>
        <v>-1.4371306872873468E-6</v>
      </c>
      <c r="Y110" s="33">
        <f t="shared" si="19"/>
        <v>-1.6058787588313361E-6</v>
      </c>
      <c r="Z110" s="37">
        <f t="shared" si="19"/>
        <v>-1.4568321191898992E-6</v>
      </c>
      <c r="AA110" s="38">
        <f t="shared" si="19"/>
        <v>-1.473223734393958E-6</v>
      </c>
    </row>
    <row r="111" spans="1:27" x14ac:dyDescent="0.2">
      <c r="B111" s="15" t="s">
        <v>17</v>
      </c>
      <c r="I111" s="48">
        <f>GEOMEAN(I63:I78)</f>
        <v>2.9398981462875017E-2</v>
      </c>
      <c r="J111" s="48">
        <f>GEOMEAN(J63:J78)</f>
        <v>7.4523825981661638E-3</v>
      </c>
      <c r="Q111" s="48">
        <f>GEOMEAN(Q63:Q78)</f>
        <v>2.7818698530131088E-2</v>
      </c>
      <c r="R111" s="48">
        <f>GEOMEAN(R63:R78)</f>
        <v>7.2361598819488844E-3</v>
      </c>
      <c r="S111" s="48">
        <f>GEOMEAN(S63:S78)</f>
        <v>0.97098609560511739</v>
      </c>
      <c r="T111" s="48">
        <f>GEOMEAN(T63:T78)</f>
        <v>0.9462470176138752</v>
      </c>
      <c r="V111" s="33" t="e">
        <f t="shared" ref="V111:AA111" si="20">AVERAGE(V63:V78)</f>
        <v>#VALUE!</v>
      </c>
      <c r="W111" s="37">
        <f t="shared" si="20"/>
        <v>4.978004864179042E-3</v>
      </c>
      <c r="X111" s="37">
        <f t="shared" si="20"/>
        <v>5.8618532398892476E-3</v>
      </c>
      <c r="Y111" s="33">
        <f t="shared" si="20"/>
        <v>-2.1649624768735415E-2</v>
      </c>
      <c r="Z111" s="37">
        <f t="shared" si="20"/>
        <v>4.7911408727334959E-3</v>
      </c>
      <c r="AA111" s="38">
        <f t="shared" si="20"/>
        <v>5.6589604538622718E-3</v>
      </c>
    </row>
    <row r="112" spans="1:27" x14ac:dyDescent="0.2">
      <c r="B112" s="15" t="s">
        <v>14</v>
      </c>
      <c r="I112" s="48">
        <f>GEOMEAN(I79:I90)</f>
        <v>6.8479551076030978</v>
      </c>
      <c r="J112" s="48">
        <f>GEOMEAN(J79:J90)</f>
        <v>1.6543029796597284</v>
      </c>
      <c r="Q112" s="48">
        <f>GEOMEAN(Q79:Q90)</f>
        <v>6.6867643936195398</v>
      </c>
      <c r="R112" s="48">
        <f>GEOMEAN(R79:R90)</f>
        <v>1.6310328206275573</v>
      </c>
      <c r="S112" s="48">
        <f>GEOMEAN(S79:S90)</f>
        <v>0.98593355671948457</v>
      </c>
      <c r="T112" s="48">
        <f>GEOMEAN(T79:T90)</f>
        <v>0.97646148208468941</v>
      </c>
      <c r="V112" s="33">
        <f t="shared" ref="V112:AA112" si="21">AVERAGE(V79:V88)</f>
        <v>-1.560601724737154E-6</v>
      </c>
      <c r="W112" s="37">
        <f t="shared" si="21"/>
        <v>-1.392628745766622E-6</v>
      </c>
      <c r="X112" s="37">
        <f t="shared" si="21"/>
        <v>-1.4061347704356446E-6</v>
      </c>
      <c r="Y112" s="33">
        <f t="shared" si="21"/>
        <v>-1.559351120487366E-6</v>
      </c>
      <c r="Z112" s="37">
        <f t="shared" si="21"/>
        <v>-1.4088059812067399E-6</v>
      </c>
      <c r="AA112" s="38">
        <f t="shared" si="21"/>
        <v>-1.4217526573453061E-6</v>
      </c>
    </row>
    <row r="113" spans="1:27" ht="12.75" customHeight="1" thickBot="1" x14ac:dyDescent="0.25">
      <c r="B113" s="15" t="s">
        <v>103</v>
      </c>
      <c r="I113" s="48">
        <f>GEOMEAN(I91:I106)</f>
        <v>6.7556853346785299</v>
      </c>
      <c r="J113" s="48">
        <f>GEOMEAN(J91:J106)</f>
        <v>1.633524138862372</v>
      </c>
      <c r="Q113" s="48">
        <f>GEOMEAN(Q91:Q106)</f>
        <v>6.4201253326965331</v>
      </c>
      <c r="R113" s="48">
        <f>GEOMEAN(R91:R106)</f>
        <v>1.6064572578887268</v>
      </c>
      <c r="S113" s="48">
        <f>GEOMEAN(S91:S106)</f>
        <v>0.98343037587892945</v>
      </c>
      <c r="T113" s="48">
        <f>GEOMEAN(T91:T106)</f>
        <v>0.95032924339156399</v>
      </c>
      <c r="V113" s="33">
        <f t="shared" ref="V113:AA113" si="22">AVERAGE(V91:V106)</f>
        <v>-1.1266822827482592E-6</v>
      </c>
      <c r="W113" s="37">
        <f t="shared" si="22"/>
        <v>-1.0259098202347605E-6</v>
      </c>
      <c r="X113" s="37">
        <f t="shared" si="22"/>
        <v>-1.0231426330331583E-6</v>
      </c>
      <c r="Y113" s="33">
        <f t="shared" si="22"/>
        <v>-1.1270530395623979E-6</v>
      </c>
      <c r="Z113" s="37">
        <f t="shared" si="22"/>
        <v>-1.0515485737716546E-6</v>
      </c>
      <c r="AA113" s="38">
        <f t="shared" si="22"/>
        <v>-1.0443428627715523E-6</v>
      </c>
    </row>
    <row r="114" spans="1:27" ht="12.75" customHeight="1" thickBot="1" x14ac:dyDescent="0.25">
      <c r="A114" s="1"/>
      <c r="B114" s="2" t="s">
        <v>104</v>
      </c>
      <c r="C114" s="2"/>
      <c r="D114" s="2"/>
      <c r="E114" s="2"/>
      <c r="F114" s="2"/>
      <c r="G114" s="2"/>
      <c r="H114" s="2"/>
      <c r="I114" s="50">
        <f>GEOMEAN(I3:I62, I79:I90)</f>
        <v>13.094084051066449</v>
      </c>
      <c r="J114" s="50">
        <f>GEOMEAN(J3:J62,J79:J90)</f>
        <v>3.6203900264683613</v>
      </c>
      <c r="K114" s="2"/>
      <c r="L114" s="2"/>
      <c r="M114" s="2"/>
      <c r="N114" s="2"/>
      <c r="O114" s="2"/>
      <c r="P114" s="2"/>
      <c r="Q114" s="50">
        <f>GEOMEAN(Q3:Q62,Q79:Q90)</f>
        <v>12.740998590255574</v>
      </c>
      <c r="R114" s="50">
        <f>GEOMEAN(R3:R62,R79:R90)</f>
        <v>3.5757894256446234</v>
      </c>
      <c r="S114" s="50">
        <f>GEOMEAN(S3:S62,S79:S90)</f>
        <v>0.9876807193430357</v>
      </c>
      <c r="T114" s="50">
        <f>GEOMEAN(T3:T62,T79:T90)</f>
        <v>0.97303473389709005</v>
      </c>
      <c r="U114" s="2"/>
      <c r="V114" s="34">
        <f t="shared" ref="V114:AA114" si="23">AVERAGE(V3:V62,V79:V90)</f>
        <v>-8.9032461743817259E-7</v>
      </c>
      <c r="W114" s="39">
        <f t="shared" si="23"/>
        <v>-8.0819417741517796E-7</v>
      </c>
      <c r="X114" s="39">
        <f t="shared" si="23"/>
        <v>-8.2046057891465514E-7</v>
      </c>
      <c r="Y114" s="34">
        <f t="shared" si="23"/>
        <v>-8.909437887203195E-7</v>
      </c>
      <c r="Z114" s="39">
        <f t="shared" si="23"/>
        <v>-8.2224220708680843E-7</v>
      </c>
      <c r="AA114" s="40">
        <f t="shared" si="23"/>
        <v>-8.3270044956254256E-7</v>
      </c>
    </row>
    <row r="115" spans="1:27" x14ac:dyDescent="0.2">
      <c r="B115" s="15" t="s">
        <v>105</v>
      </c>
      <c r="I115" s="81">
        <f>GEOMEAN(I3:I106)</f>
        <v>4.6276442222144487</v>
      </c>
      <c r="J115" s="81">
        <f>GEOMEAN(J3:J106)</f>
        <v>1.2367444557231075</v>
      </c>
      <c r="Q115" s="81">
        <f>GEOMEAN(Q3:Q106)</f>
        <v>4.4673041931502961</v>
      </c>
      <c r="R115" s="81">
        <f>GEOMEAN(R3:R106)</f>
        <v>1.217501179832688</v>
      </c>
      <c r="S115" s="81"/>
      <c r="T115" s="81"/>
    </row>
    <row r="116" spans="1:27" x14ac:dyDescent="0.2">
      <c r="B116" s="15" t="s">
        <v>106</v>
      </c>
      <c r="Q116" s="19">
        <f>Q115/I115</f>
        <v>0.9653516948657247</v>
      </c>
      <c r="R116" s="19">
        <f>R115/J115</f>
        <v>0.98444037828399378</v>
      </c>
      <c r="S116" s="19"/>
      <c r="T116" s="19"/>
    </row>
    <row r="117" spans="1:27" x14ac:dyDescent="0.2">
      <c r="B117" s="15" t="s">
        <v>107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8" type="noConversion"/>
  <conditionalFormatting sqref="Y11">
    <cfRule type="cellIs" dxfId="951" priority="1163" operator="greaterThan">
      <formula>0.03</formula>
    </cfRule>
    <cfRule type="cellIs" dxfId="950" priority="1164" stopIfTrue="1" operator="lessThan">
      <formula>-0.03</formula>
    </cfRule>
  </conditionalFormatting>
  <conditionalFormatting sqref="V3:X14">
    <cfRule type="cellIs" dxfId="949" priority="1177" operator="greaterThan">
      <formula>0.03</formula>
    </cfRule>
    <cfRule type="cellIs" dxfId="948" priority="1178" stopIfTrue="1" operator="lessThan">
      <formula>-0.03</formula>
    </cfRule>
  </conditionalFormatting>
  <conditionalFormatting sqref="Y3">
    <cfRule type="cellIs" dxfId="947" priority="1175" operator="greaterThan">
      <formula>0.03</formula>
    </cfRule>
    <cfRule type="cellIs" dxfId="946" priority="1176" stopIfTrue="1" operator="lessThan">
      <formula>-0.03</formula>
    </cfRule>
  </conditionalFormatting>
  <conditionalFormatting sqref="Z3">
    <cfRule type="cellIs" dxfId="945" priority="1173" operator="greaterThan">
      <formula>0.03</formula>
    </cfRule>
    <cfRule type="cellIs" dxfId="944" priority="1174" stopIfTrue="1" operator="lessThan">
      <formula>-0.03</formula>
    </cfRule>
  </conditionalFormatting>
  <conditionalFormatting sqref="AA3">
    <cfRule type="cellIs" dxfId="943" priority="1171" operator="greaterThan">
      <formula>0.03</formula>
    </cfRule>
    <cfRule type="cellIs" dxfId="942" priority="1172" stopIfTrue="1" operator="lessThan">
      <formula>-0.03</formula>
    </cfRule>
  </conditionalFormatting>
  <conditionalFormatting sqref="Y7">
    <cfRule type="cellIs" dxfId="941" priority="1169" operator="greaterThan">
      <formula>0.03</formula>
    </cfRule>
    <cfRule type="cellIs" dxfId="940" priority="1170" stopIfTrue="1" operator="lessThan">
      <formula>-0.03</formula>
    </cfRule>
  </conditionalFormatting>
  <conditionalFormatting sqref="Z7">
    <cfRule type="cellIs" dxfId="939" priority="1167" operator="greaterThan">
      <formula>0.03</formula>
    </cfRule>
    <cfRule type="cellIs" dxfId="938" priority="1168" stopIfTrue="1" operator="lessThan">
      <formula>-0.03</formula>
    </cfRule>
  </conditionalFormatting>
  <conditionalFormatting sqref="AA7">
    <cfRule type="cellIs" dxfId="937" priority="1165" operator="greaterThan">
      <formula>0.03</formula>
    </cfRule>
    <cfRule type="cellIs" dxfId="936" priority="1166" stopIfTrue="1" operator="lessThan">
      <formula>-0.03</formula>
    </cfRule>
  </conditionalFormatting>
  <conditionalFormatting sqref="Z11">
    <cfRule type="cellIs" dxfId="935" priority="1161" operator="greaterThan">
      <formula>0.03</formula>
    </cfRule>
    <cfRule type="cellIs" dxfId="934" priority="1162" stopIfTrue="1" operator="lessThan">
      <formula>-0.03</formula>
    </cfRule>
  </conditionalFormatting>
  <conditionalFormatting sqref="AA11">
    <cfRule type="cellIs" dxfId="933" priority="1159" operator="greaterThan">
      <formula>0.03</formula>
    </cfRule>
    <cfRule type="cellIs" dxfId="932" priority="1160" stopIfTrue="1" operator="lessThan">
      <formula>-0.03</formula>
    </cfRule>
  </conditionalFormatting>
  <conditionalFormatting sqref="Y14:Z14">
    <cfRule type="cellIs" dxfId="931" priority="1087" operator="greaterThan">
      <formula>0.03</formula>
    </cfRule>
    <cfRule type="cellIs" dxfId="930" priority="1088" stopIfTrue="1" operator="lessThan">
      <formula>-0.03</formula>
    </cfRule>
  </conditionalFormatting>
  <conditionalFormatting sqref="Y6:Z6">
    <cfRule type="cellIs" dxfId="929" priority="1091" operator="greaterThan">
      <formula>0.03</formula>
    </cfRule>
    <cfRule type="cellIs" dxfId="928" priority="1092" stopIfTrue="1" operator="lessThan">
      <formula>-0.03</formula>
    </cfRule>
  </conditionalFormatting>
  <conditionalFormatting sqref="Y10:Z10">
    <cfRule type="cellIs" dxfId="927" priority="1089" operator="greaterThan">
      <formula>0.03</formula>
    </cfRule>
    <cfRule type="cellIs" dxfId="926" priority="1090" stopIfTrue="1" operator="lessThan">
      <formula>-0.03</formula>
    </cfRule>
  </conditionalFormatting>
  <conditionalFormatting sqref="V110:AA110">
    <cfRule type="cellIs" dxfId="925" priority="555" operator="greaterThan">
      <formula>0.03</formula>
    </cfRule>
    <cfRule type="cellIs" dxfId="924" priority="556" stopIfTrue="1" operator="lessThan">
      <formula>-0.03</formula>
    </cfRule>
  </conditionalFormatting>
  <conditionalFormatting sqref="Y94:Z94">
    <cfRule type="cellIs" dxfId="923" priority="103" operator="greaterThan">
      <formula>0.03</formula>
    </cfRule>
    <cfRule type="cellIs" dxfId="922" priority="104" stopIfTrue="1" operator="lessThan">
      <formula>-0.03</formula>
    </cfRule>
  </conditionalFormatting>
  <conditionalFormatting sqref="V113:AA113">
    <cfRule type="cellIs" dxfId="921" priority="553" operator="greaterThan">
      <formula>0.03</formula>
    </cfRule>
    <cfRule type="cellIs" dxfId="920" priority="554" stopIfTrue="1" operator="lessThan">
      <formula>-0.03</formula>
    </cfRule>
  </conditionalFormatting>
  <conditionalFormatting sqref="V114:AA114">
    <cfRule type="cellIs" dxfId="919" priority="561" operator="greaterThan">
      <formula>0.03</formula>
    </cfRule>
    <cfRule type="cellIs" dxfId="918" priority="562" stopIfTrue="1" operator="lessThan">
      <formula>-0.03</formula>
    </cfRule>
  </conditionalFormatting>
  <conditionalFormatting sqref="V107:AA107 V109:AA109">
    <cfRule type="cellIs" dxfId="917" priority="557" operator="greaterThan">
      <formula>0.03</formula>
    </cfRule>
    <cfRule type="cellIs" dxfId="916" priority="558" stopIfTrue="1" operator="lessThan">
      <formula>-0.03</formula>
    </cfRule>
  </conditionalFormatting>
  <conditionalFormatting sqref="V111:AA112">
    <cfRule type="cellIs" dxfId="915" priority="559" operator="greaterThan">
      <formula>0.03</formula>
    </cfRule>
    <cfRule type="cellIs" dxfId="914" priority="560" stopIfTrue="1" operator="lessThan">
      <formula>-0.03</formula>
    </cfRule>
  </conditionalFormatting>
  <conditionalFormatting sqref="Z103">
    <cfRule type="cellIs" dxfId="913" priority="107" operator="greaterThan">
      <formula>0.03</formula>
    </cfRule>
    <cfRule type="cellIs" dxfId="912" priority="108" stopIfTrue="1" operator="lessThan">
      <formula>-0.03</formula>
    </cfRule>
  </conditionalFormatting>
  <conditionalFormatting sqref="Y103">
    <cfRule type="cellIs" dxfId="911" priority="109" operator="greaterThan">
      <formula>0.03</formula>
    </cfRule>
    <cfRule type="cellIs" dxfId="910" priority="110" stopIfTrue="1" operator="lessThan">
      <formula>-0.03</formula>
    </cfRule>
  </conditionalFormatting>
  <conditionalFormatting sqref="AA103">
    <cfRule type="cellIs" dxfId="909" priority="105" operator="greaterThan">
      <formula>0.03</formula>
    </cfRule>
    <cfRule type="cellIs" dxfId="908" priority="106" stopIfTrue="1" operator="lessThan">
      <formula>-0.03</formula>
    </cfRule>
  </conditionalFormatting>
  <conditionalFormatting sqref="V79:X90">
    <cfRule type="cellIs" dxfId="907" priority="55" operator="greaterThan">
      <formula>0.03</formula>
    </cfRule>
    <cfRule type="cellIs" dxfId="906" priority="56" stopIfTrue="1" operator="lessThan">
      <formula>-0.03</formula>
    </cfRule>
  </conditionalFormatting>
  <conditionalFormatting sqref="Y79">
    <cfRule type="cellIs" dxfId="905" priority="53" operator="greaterThan">
      <formula>0.03</formula>
    </cfRule>
    <cfRule type="cellIs" dxfId="904" priority="54" stopIfTrue="1" operator="lessThan">
      <formula>-0.03</formula>
    </cfRule>
  </conditionalFormatting>
  <conditionalFormatting sqref="Z87">
    <cfRule type="cellIs" dxfId="903" priority="39" operator="greaterThan">
      <formula>0.03</formula>
    </cfRule>
    <cfRule type="cellIs" dxfId="902" priority="40" stopIfTrue="1" operator="lessThan">
      <formula>-0.03</formula>
    </cfRule>
  </conditionalFormatting>
  <conditionalFormatting sqref="Z79">
    <cfRule type="cellIs" dxfId="901" priority="51" operator="greaterThan">
      <formula>0.03</formula>
    </cfRule>
    <cfRule type="cellIs" dxfId="900" priority="52" stopIfTrue="1" operator="lessThan">
      <formula>-0.03</formula>
    </cfRule>
  </conditionalFormatting>
  <conditionalFormatting sqref="Y86:Z86">
    <cfRule type="cellIs" dxfId="899" priority="33" operator="greaterThan">
      <formula>0.03</formula>
    </cfRule>
    <cfRule type="cellIs" dxfId="898" priority="34" stopIfTrue="1" operator="lessThan">
      <formula>-0.03</formula>
    </cfRule>
  </conditionalFormatting>
  <conditionalFormatting sqref="Y87">
    <cfRule type="cellIs" dxfId="897" priority="41" operator="greaterThan">
      <formula>0.03</formula>
    </cfRule>
    <cfRule type="cellIs" dxfId="896" priority="42" stopIfTrue="1" operator="lessThan">
      <formula>-0.03</formula>
    </cfRule>
  </conditionalFormatting>
  <conditionalFormatting sqref="AA79">
    <cfRule type="cellIs" dxfId="895" priority="49" operator="greaterThan">
      <formula>0.03</formula>
    </cfRule>
    <cfRule type="cellIs" dxfId="894" priority="50" stopIfTrue="1" operator="lessThan">
      <formula>-0.03</formula>
    </cfRule>
  </conditionalFormatting>
  <conditionalFormatting sqref="AA83">
    <cfRule type="cellIs" dxfId="893" priority="43" operator="greaterThan">
      <formula>0.03</formula>
    </cfRule>
    <cfRule type="cellIs" dxfId="892" priority="44" stopIfTrue="1" operator="lessThan">
      <formula>-0.03</formula>
    </cfRule>
  </conditionalFormatting>
  <conditionalFormatting sqref="Y82:Z82">
    <cfRule type="cellIs" dxfId="891" priority="35" operator="greaterThan">
      <formula>0.03</formula>
    </cfRule>
    <cfRule type="cellIs" dxfId="890" priority="36" stopIfTrue="1" operator="lessThan">
      <formula>-0.03</formula>
    </cfRule>
  </conditionalFormatting>
  <conditionalFormatting sqref="Y90:Z90">
    <cfRule type="cellIs" dxfId="889" priority="31" operator="greaterThan">
      <formula>0.03</formula>
    </cfRule>
    <cfRule type="cellIs" dxfId="888" priority="32" stopIfTrue="1" operator="lessThan">
      <formula>-0.03</formula>
    </cfRule>
  </conditionalFormatting>
  <conditionalFormatting sqref="Y83">
    <cfRule type="cellIs" dxfId="887" priority="47" operator="greaterThan">
      <formula>0.03</formula>
    </cfRule>
    <cfRule type="cellIs" dxfId="886" priority="48" stopIfTrue="1" operator="lessThan">
      <formula>-0.03</formula>
    </cfRule>
  </conditionalFormatting>
  <conditionalFormatting sqref="Z83">
    <cfRule type="cellIs" dxfId="885" priority="45" operator="greaterThan">
      <formula>0.03</formula>
    </cfRule>
    <cfRule type="cellIs" dxfId="884" priority="46" stopIfTrue="1" operator="lessThan">
      <formula>-0.03</formula>
    </cfRule>
  </conditionalFormatting>
  <conditionalFormatting sqref="AA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V108:AA108">
    <cfRule type="cellIs" dxfId="881" priority="463" operator="greaterThan">
      <formula>0.03</formula>
    </cfRule>
    <cfRule type="cellIs" dxfId="880" priority="464" stopIfTrue="1" operator="lessThan">
      <formula>-0.03</formula>
    </cfRule>
  </conditionalFormatting>
  <conditionalFormatting sqref="Y23">
    <cfRule type="cellIs" dxfId="879" priority="433" operator="greaterThan">
      <formula>0.03</formula>
    </cfRule>
    <cfRule type="cellIs" dxfId="878" priority="434" stopIfTrue="1" operator="lessThan">
      <formula>-0.03</formula>
    </cfRule>
  </conditionalFormatting>
  <conditionalFormatting sqref="V15:X26">
    <cfRule type="cellIs" dxfId="877" priority="447" operator="greaterThan">
      <formula>0.03</formula>
    </cfRule>
    <cfRule type="cellIs" dxfId="876" priority="448" stopIfTrue="1" operator="lessThan">
      <formula>-0.03</formula>
    </cfRule>
  </conditionalFormatting>
  <conditionalFormatting sqref="Y15">
    <cfRule type="cellIs" dxfId="875" priority="445" operator="greaterThan">
      <formula>0.03</formula>
    </cfRule>
    <cfRule type="cellIs" dxfId="874" priority="446" stopIfTrue="1" operator="lessThan">
      <formula>-0.03</formula>
    </cfRule>
  </conditionalFormatting>
  <conditionalFormatting sqref="Z15">
    <cfRule type="cellIs" dxfId="873" priority="443" operator="greaterThan">
      <formula>0.03</formula>
    </cfRule>
    <cfRule type="cellIs" dxfId="872" priority="444" stopIfTrue="1" operator="lessThan">
      <formula>-0.03</formula>
    </cfRule>
  </conditionalFormatting>
  <conditionalFormatting sqref="AA15">
    <cfRule type="cellIs" dxfId="871" priority="441" operator="greaterThan">
      <formula>0.03</formula>
    </cfRule>
    <cfRule type="cellIs" dxfId="870" priority="442" stopIfTrue="1" operator="lessThan">
      <formula>-0.03</formula>
    </cfRule>
  </conditionalFormatting>
  <conditionalFormatting sqref="Y19">
    <cfRule type="cellIs" dxfId="869" priority="439" operator="greaterThan">
      <formula>0.03</formula>
    </cfRule>
    <cfRule type="cellIs" dxfId="868" priority="440" stopIfTrue="1" operator="lessThan">
      <formula>-0.03</formula>
    </cfRule>
  </conditionalFormatting>
  <conditionalFormatting sqref="Z19">
    <cfRule type="cellIs" dxfId="867" priority="437" operator="greaterThan">
      <formula>0.03</formula>
    </cfRule>
    <cfRule type="cellIs" dxfId="866" priority="438" stopIfTrue="1" operator="lessThan">
      <formula>-0.03</formula>
    </cfRule>
  </conditionalFormatting>
  <conditionalFormatting sqref="AA19">
    <cfRule type="cellIs" dxfId="865" priority="435" operator="greaterThan">
      <formula>0.03</formula>
    </cfRule>
    <cfRule type="cellIs" dxfId="864" priority="436" stopIfTrue="1" operator="lessThan">
      <formula>-0.03</formula>
    </cfRule>
  </conditionalFormatting>
  <conditionalFormatting sqref="Z23">
    <cfRule type="cellIs" dxfId="863" priority="431" operator="greaterThan">
      <formula>0.03</formula>
    </cfRule>
    <cfRule type="cellIs" dxfId="862" priority="432" stopIfTrue="1" operator="lessThan">
      <formula>-0.03</formula>
    </cfRule>
  </conditionalFormatting>
  <conditionalFormatting sqref="AA23">
    <cfRule type="cellIs" dxfId="861" priority="429" operator="greaterThan">
      <formula>0.03</formula>
    </cfRule>
    <cfRule type="cellIs" dxfId="860" priority="430" stopIfTrue="1" operator="lessThan">
      <formula>-0.03</formula>
    </cfRule>
  </conditionalFormatting>
  <conditionalFormatting sqref="Y26:Z26">
    <cfRule type="cellIs" dxfId="859" priority="417" operator="greaterThan">
      <formula>0.03</formula>
    </cfRule>
    <cfRule type="cellIs" dxfId="858" priority="418" stopIfTrue="1" operator="lessThan">
      <formula>-0.03</formula>
    </cfRule>
  </conditionalFormatting>
  <conditionalFormatting sqref="Y18:Z18">
    <cfRule type="cellIs" dxfId="857" priority="421" operator="greaterThan">
      <formula>0.03</formula>
    </cfRule>
    <cfRule type="cellIs" dxfId="856" priority="422" stopIfTrue="1" operator="lessThan">
      <formula>-0.03</formula>
    </cfRule>
  </conditionalFormatting>
  <conditionalFormatting sqref="Y22:Z22">
    <cfRule type="cellIs" dxfId="855" priority="419" operator="greaterThan">
      <formula>0.03</formula>
    </cfRule>
    <cfRule type="cellIs" dxfId="854" priority="420" stopIfTrue="1" operator="lessThan">
      <formula>-0.03</formula>
    </cfRule>
  </conditionalFormatting>
  <conditionalFormatting sqref="V27:X30">
    <cfRule type="cellIs" dxfId="853" priority="373" operator="greaterThan">
      <formula>0.03</formula>
    </cfRule>
    <cfRule type="cellIs" dxfId="852" priority="374" stopIfTrue="1" operator="lessThan">
      <formula>-0.03</formula>
    </cfRule>
  </conditionalFormatting>
  <conditionalFormatting sqref="Y27">
    <cfRule type="cellIs" dxfId="851" priority="371" operator="greaterThan">
      <formula>0.03</formula>
    </cfRule>
    <cfRule type="cellIs" dxfId="850" priority="372" stopIfTrue="1" operator="lessThan">
      <formula>-0.03</formula>
    </cfRule>
  </conditionalFormatting>
  <conditionalFormatting sqref="Z27">
    <cfRule type="cellIs" dxfId="849" priority="369" operator="greaterThan">
      <formula>0.03</formula>
    </cfRule>
    <cfRule type="cellIs" dxfId="848" priority="370" stopIfTrue="1" operator="lessThan">
      <formula>-0.03</formula>
    </cfRule>
  </conditionalFormatting>
  <conditionalFormatting sqref="AA27">
    <cfRule type="cellIs" dxfId="847" priority="367" operator="greaterThan">
      <formula>0.03</formula>
    </cfRule>
    <cfRule type="cellIs" dxfId="846" priority="368" stopIfTrue="1" operator="lessThan">
      <formula>-0.03</formula>
    </cfRule>
  </conditionalFormatting>
  <conditionalFormatting sqref="Y30:Z30">
    <cfRule type="cellIs" dxfId="845" priority="365" operator="greaterThan">
      <formula>0.03</formula>
    </cfRule>
    <cfRule type="cellIs" dxfId="844" priority="366" stopIfTrue="1" operator="lessThan">
      <formula>-0.03</formula>
    </cfRule>
  </conditionalFormatting>
  <conditionalFormatting sqref="Y35">
    <cfRule type="cellIs" dxfId="843" priority="345" operator="greaterThan">
      <formula>0.03</formula>
    </cfRule>
    <cfRule type="cellIs" dxfId="842" priority="346" stopIfTrue="1" operator="lessThan">
      <formula>-0.03</formula>
    </cfRule>
  </conditionalFormatting>
  <conditionalFormatting sqref="V31:X38">
    <cfRule type="cellIs" dxfId="841" priority="353" operator="greaterThan">
      <formula>0.03</formula>
    </cfRule>
    <cfRule type="cellIs" dxfId="840" priority="354" stopIfTrue="1" operator="lessThan">
      <formula>-0.03</formula>
    </cfRule>
  </conditionalFormatting>
  <conditionalFormatting sqref="Y31">
    <cfRule type="cellIs" dxfId="839" priority="351" operator="greaterThan">
      <formula>0.03</formula>
    </cfRule>
    <cfRule type="cellIs" dxfId="838" priority="352" stopIfTrue="1" operator="lessThan">
      <formula>-0.03</formula>
    </cfRule>
  </conditionalFormatting>
  <conditionalFormatting sqref="Z31">
    <cfRule type="cellIs" dxfId="837" priority="349" operator="greaterThan">
      <formula>0.03</formula>
    </cfRule>
    <cfRule type="cellIs" dxfId="836" priority="350" stopIfTrue="1" operator="lessThan">
      <formula>-0.03</formula>
    </cfRule>
  </conditionalFormatting>
  <conditionalFormatting sqref="AA31">
    <cfRule type="cellIs" dxfId="835" priority="347" operator="greaterThan">
      <formula>0.03</formula>
    </cfRule>
    <cfRule type="cellIs" dxfId="834" priority="348" stopIfTrue="1" operator="lessThan">
      <formula>-0.03</formula>
    </cfRule>
  </conditionalFormatting>
  <conditionalFormatting sqref="Z35">
    <cfRule type="cellIs" dxfId="833" priority="343" operator="greaterThan">
      <formula>0.03</formula>
    </cfRule>
    <cfRule type="cellIs" dxfId="832" priority="344" stopIfTrue="1" operator="lessThan">
      <formula>-0.03</formula>
    </cfRule>
  </conditionalFormatting>
  <conditionalFormatting sqref="AA35">
    <cfRule type="cellIs" dxfId="831" priority="341" operator="greaterThan">
      <formula>0.03</formula>
    </cfRule>
    <cfRule type="cellIs" dxfId="830" priority="342" stopIfTrue="1" operator="lessThan">
      <formula>-0.03</formula>
    </cfRule>
  </conditionalFormatting>
  <conditionalFormatting sqref="Y38:Z38">
    <cfRule type="cellIs" dxfId="829" priority="337" operator="greaterThan">
      <formula>0.03</formula>
    </cfRule>
    <cfRule type="cellIs" dxfId="828" priority="338" stopIfTrue="1" operator="lessThan">
      <formula>-0.03</formula>
    </cfRule>
  </conditionalFormatting>
  <conditionalFormatting sqref="Y34:Z34">
    <cfRule type="cellIs" dxfId="827" priority="339" operator="greaterThan">
      <formula>0.03</formula>
    </cfRule>
    <cfRule type="cellIs" dxfId="826" priority="340" stopIfTrue="1" operator="lessThan">
      <formula>-0.03</formula>
    </cfRule>
  </conditionalFormatting>
  <conditionalFormatting sqref="Y43">
    <cfRule type="cellIs" dxfId="825" priority="307" operator="greaterThan">
      <formula>0.03</formula>
    </cfRule>
    <cfRule type="cellIs" dxfId="824" priority="308" stopIfTrue="1" operator="lessThan">
      <formula>-0.03</formula>
    </cfRule>
  </conditionalFormatting>
  <conditionalFormatting sqref="V39:X46">
    <cfRule type="cellIs" dxfId="823" priority="315" operator="greaterThan">
      <formula>0.03</formula>
    </cfRule>
    <cfRule type="cellIs" dxfId="822" priority="316" stopIfTrue="1" operator="lessThan">
      <formula>-0.03</formula>
    </cfRule>
  </conditionalFormatting>
  <conditionalFormatting sqref="Y39">
    <cfRule type="cellIs" dxfId="821" priority="313" operator="greaterThan">
      <formula>0.03</formula>
    </cfRule>
    <cfRule type="cellIs" dxfId="820" priority="314" stopIfTrue="1" operator="lessThan">
      <formula>-0.03</formula>
    </cfRule>
  </conditionalFormatting>
  <conditionalFormatting sqref="Z39">
    <cfRule type="cellIs" dxfId="819" priority="311" operator="greaterThan">
      <formula>0.03</formula>
    </cfRule>
    <cfRule type="cellIs" dxfId="818" priority="312" stopIfTrue="1" operator="lessThan">
      <formula>-0.03</formula>
    </cfRule>
  </conditionalFormatting>
  <conditionalFormatting sqref="AA39">
    <cfRule type="cellIs" dxfId="817" priority="309" operator="greaterThan">
      <formula>0.03</formula>
    </cfRule>
    <cfRule type="cellIs" dxfId="816" priority="310" stopIfTrue="1" operator="lessThan">
      <formula>-0.03</formula>
    </cfRule>
  </conditionalFormatting>
  <conditionalFormatting sqref="Z43">
    <cfRule type="cellIs" dxfId="815" priority="305" operator="greaterThan">
      <formula>0.03</formula>
    </cfRule>
    <cfRule type="cellIs" dxfId="814" priority="306" stopIfTrue="1" operator="lessThan">
      <formula>-0.03</formula>
    </cfRule>
  </conditionalFormatting>
  <conditionalFormatting sqref="AA43">
    <cfRule type="cellIs" dxfId="813" priority="303" operator="greaterThan">
      <formula>0.03</formula>
    </cfRule>
    <cfRule type="cellIs" dxfId="812" priority="304" stopIfTrue="1" operator="lessThan">
      <formula>-0.03</formula>
    </cfRule>
  </conditionalFormatting>
  <conditionalFormatting sqref="Y46:Z46">
    <cfRule type="cellIs" dxfId="811" priority="299" operator="greaterThan">
      <formula>0.03</formula>
    </cfRule>
    <cfRule type="cellIs" dxfId="810" priority="300" stopIfTrue="1" operator="lessThan">
      <formula>-0.03</formula>
    </cfRule>
  </conditionalFormatting>
  <conditionalFormatting sqref="Y42:Z42">
    <cfRule type="cellIs" dxfId="809" priority="301" operator="greaterThan">
      <formula>0.03</formula>
    </cfRule>
    <cfRule type="cellIs" dxfId="808" priority="302" stopIfTrue="1" operator="lessThan">
      <formula>-0.03</formula>
    </cfRule>
  </conditionalFormatting>
  <conditionalFormatting sqref="Y55">
    <cfRule type="cellIs" dxfId="807" priority="263" operator="greaterThan">
      <formula>0.03</formula>
    </cfRule>
    <cfRule type="cellIs" dxfId="806" priority="264" stopIfTrue="1" operator="lessThan">
      <formula>-0.03</formula>
    </cfRule>
  </conditionalFormatting>
  <conditionalFormatting sqref="V47:X62">
    <cfRule type="cellIs" dxfId="805" priority="277" operator="greaterThan">
      <formula>0.03</formula>
    </cfRule>
    <cfRule type="cellIs" dxfId="804" priority="278" stopIfTrue="1" operator="lessThan">
      <formula>-0.03</formula>
    </cfRule>
  </conditionalFormatting>
  <conditionalFormatting sqref="Y47">
    <cfRule type="cellIs" dxfId="803" priority="275" operator="greaterThan">
      <formula>0.03</formula>
    </cfRule>
    <cfRule type="cellIs" dxfId="802" priority="276" stopIfTrue="1" operator="lessThan">
      <formula>-0.03</formula>
    </cfRule>
  </conditionalFormatting>
  <conditionalFormatting sqref="Z47">
    <cfRule type="cellIs" dxfId="801" priority="273" operator="greaterThan">
      <formula>0.03</formula>
    </cfRule>
    <cfRule type="cellIs" dxfId="800" priority="274" stopIfTrue="1" operator="lessThan">
      <formula>-0.03</formula>
    </cfRule>
  </conditionalFormatting>
  <conditionalFormatting sqref="AA47">
    <cfRule type="cellIs" dxfId="799" priority="271" operator="greaterThan">
      <formula>0.03</formula>
    </cfRule>
    <cfRule type="cellIs" dxfId="798" priority="272" stopIfTrue="1" operator="lessThan">
      <formula>-0.03</formula>
    </cfRule>
  </conditionalFormatting>
  <conditionalFormatting sqref="Y51">
    <cfRule type="cellIs" dxfId="797" priority="269" operator="greaterThan">
      <formula>0.03</formula>
    </cfRule>
    <cfRule type="cellIs" dxfId="796" priority="270" stopIfTrue="1" operator="lessThan">
      <formula>-0.03</formula>
    </cfRule>
  </conditionalFormatting>
  <conditionalFormatting sqref="Z51">
    <cfRule type="cellIs" dxfId="795" priority="267" operator="greaterThan">
      <formula>0.03</formula>
    </cfRule>
    <cfRule type="cellIs" dxfId="794" priority="268" stopIfTrue="1" operator="lessThan">
      <formula>-0.03</formula>
    </cfRule>
  </conditionalFormatting>
  <conditionalFormatting sqref="AA51">
    <cfRule type="cellIs" dxfId="793" priority="265" operator="greaterThan">
      <formula>0.03</formula>
    </cfRule>
    <cfRule type="cellIs" dxfId="792" priority="266" stopIfTrue="1" operator="lessThan">
      <formula>-0.03</formula>
    </cfRule>
  </conditionalFormatting>
  <conditionalFormatting sqref="Z55">
    <cfRule type="cellIs" dxfId="791" priority="261" operator="greaterThan">
      <formula>0.03</formula>
    </cfRule>
    <cfRule type="cellIs" dxfId="790" priority="262" stopIfTrue="1" operator="lessThan">
      <formula>-0.03</formula>
    </cfRule>
  </conditionalFormatting>
  <conditionalFormatting sqref="AA55">
    <cfRule type="cellIs" dxfId="789" priority="259" operator="greaterThan">
      <formula>0.03</formula>
    </cfRule>
    <cfRule type="cellIs" dxfId="788" priority="260" stopIfTrue="1" operator="lessThan">
      <formula>-0.03</formula>
    </cfRule>
  </conditionalFormatting>
  <conditionalFormatting sqref="Y59">
    <cfRule type="cellIs" dxfId="787" priority="257" operator="greaterThan">
      <formula>0.03</formula>
    </cfRule>
    <cfRule type="cellIs" dxfId="786" priority="258" stopIfTrue="1" operator="lessThan">
      <formula>-0.03</formula>
    </cfRule>
  </conditionalFormatting>
  <conditionalFormatting sqref="Z59">
    <cfRule type="cellIs" dxfId="785" priority="255" operator="greaterThan">
      <formula>0.03</formula>
    </cfRule>
    <cfRule type="cellIs" dxfId="784" priority="256" stopIfTrue="1" operator="lessThan">
      <formula>-0.03</formula>
    </cfRule>
  </conditionalFormatting>
  <conditionalFormatting sqref="AA59">
    <cfRule type="cellIs" dxfId="783" priority="253" operator="greaterThan">
      <formula>0.03</formula>
    </cfRule>
    <cfRule type="cellIs" dxfId="782" priority="254" stopIfTrue="1" operator="lessThan">
      <formula>-0.03</formula>
    </cfRule>
  </conditionalFormatting>
  <conditionalFormatting sqref="Y58:Z58">
    <cfRule type="cellIs" dxfId="781" priority="247" operator="greaterThan">
      <formula>0.03</formula>
    </cfRule>
    <cfRule type="cellIs" dxfId="780" priority="248" stopIfTrue="1" operator="lessThan">
      <formula>-0.03</formula>
    </cfRule>
  </conditionalFormatting>
  <conditionalFormatting sqref="Y50:Z50">
    <cfRule type="cellIs" dxfId="779" priority="251" operator="greaterThan">
      <formula>0.03</formula>
    </cfRule>
    <cfRule type="cellIs" dxfId="778" priority="252" stopIfTrue="1" operator="lessThan">
      <formula>-0.03</formula>
    </cfRule>
  </conditionalFormatting>
  <conditionalFormatting sqref="Y54:Z54">
    <cfRule type="cellIs" dxfId="777" priority="249" operator="greaterThan">
      <formula>0.03</formula>
    </cfRule>
    <cfRule type="cellIs" dxfId="776" priority="250" stopIfTrue="1" operator="lessThan">
      <formula>-0.03</formula>
    </cfRule>
  </conditionalFormatting>
  <conditionalFormatting sqref="Y62:Z62">
    <cfRule type="cellIs" dxfId="775" priority="245" operator="greaterThan">
      <formula>0.03</formula>
    </cfRule>
    <cfRule type="cellIs" dxfId="774" priority="246" stopIfTrue="1" operator="lessThan">
      <formula>-0.03</formula>
    </cfRule>
  </conditionalFormatting>
  <conditionalFormatting sqref="Y71">
    <cfRule type="cellIs" dxfId="773" priority="189" operator="greaterThan">
      <formula>0.03</formula>
    </cfRule>
    <cfRule type="cellIs" dxfId="772" priority="190" stopIfTrue="1" operator="lessThan">
      <formula>-0.03</formula>
    </cfRule>
  </conditionalFormatting>
  <conditionalFormatting sqref="V63:X78">
    <cfRule type="cellIs" dxfId="771" priority="203" operator="greaterThan">
      <formula>0.03</formula>
    </cfRule>
    <cfRule type="cellIs" dxfId="770" priority="204" stopIfTrue="1" operator="lessThan">
      <formula>-0.03</formula>
    </cfRule>
  </conditionalFormatting>
  <conditionalFormatting sqref="Y63">
    <cfRule type="cellIs" dxfId="769" priority="201" operator="greaterThan">
      <formula>0.03</formula>
    </cfRule>
    <cfRule type="cellIs" dxfId="768" priority="202" stopIfTrue="1" operator="lessThan">
      <formula>-0.03</formula>
    </cfRule>
  </conditionalFormatting>
  <conditionalFormatting sqref="Z63">
    <cfRule type="cellIs" dxfId="767" priority="199" operator="greaterThan">
      <formula>0.03</formula>
    </cfRule>
    <cfRule type="cellIs" dxfId="766" priority="200" stopIfTrue="1" operator="lessThan">
      <formula>-0.03</formula>
    </cfRule>
  </conditionalFormatting>
  <conditionalFormatting sqref="AA63">
    <cfRule type="cellIs" dxfId="765" priority="197" operator="greaterThan">
      <formula>0.03</formula>
    </cfRule>
    <cfRule type="cellIs" dxfId="764" priority="198" stopIfTrue="1" operator="lessThan">
      <formula>-0.03</formula>
    </cfRule>
  </conditionalFormatting>
  <conditionalFormatting sqref="Y67">
    <cfRule type="cellIs" dxfId="763" priority="195" operator="greaterThan">
      <formula>0.03</formula>
    </cfRule>
    <cfRule type="cellIs" dxfId="762" priority="196" stopIfTrue="1" operator="lessThan">
      <formula>-0.03</formula>
    </cfRule>
  </conditionalFormatting>
  <conditionalFormatting sqref="Z67">
    <cfRule type="cellIs" dxfId="761" priority="193" operator="greaterThan">
      <formula>0.03</formula>
    </cfRule>
    <cfRule type="cellIs" dxfId="760" priority="194" stopIfTrue="1" operator="lessThan">
      <formula>-0.03</formula>
    </cfRule>
  </conditionalFormatting>
  <conditionalFormatting sqref="AA67">
    <cfRule type="cellIs" dxfId="759" priority="191" operator="greaterThan">
      <formula>0.03</formula>
    </cfRule>
    <cfRule type="cellIs" dxfId="758" priority="192" stopIfTrue="1" operator="lessThan">
      <formula>-0.03</formula>
    </cfRule>
  </conditionalFormatting>
  <conditionalFormatting sqref="Z71">
    <cfRule type="cellIs" dxfId="757" priority="187" operator="greaterThan">
      <formula>0.03</formula>
    </cfRule>
    <cfRule type="cellIs" dxfId="756" priority="188" stopIfTrue="1" operator="lessThan">
      <formula>-0.03</formula>
    </cfRule>
  </conditionalFormatting>
  <conditionalFormatting sqref="AA71">
    <cfRule type="cellIs" dxfId="755" priority="185" operator="greaterThan">
      <formula>0.03</formula>
    </cfRule>
    <cfRule type="cellIs" dxfId="754" priority="186" stopIfTrue="1" operator="lessThan">
      <formula>-0.03</formula>
    </cfRule>
  </conditionalFormatting>
  <conditionalFormatting sqref="Y75">
    <cfRule type="cellIs" dxfId="753" priority="183" operator="greaterThan">
      <formula>0.03</formula>
    </cfRule>
    <cfRule type="cellIs" dxfId="752" priority="184" stopIfTrue="1" operator="lessThan">
      <formula>-0.03</formula>
    </cfRule>
  </conditionalFormatting>
  <conditionalFormatting sqref="Z75">
    <cfRule type="cellIs" dxfId="751" priority="181" operator="greaterThan">
      <formula>0.03</formula>
    </cfRule>
    <cfRule type="cellIs" dxfId="750" priority="182" stopIfTrue="1" operator="lessThan">
      <formula>-0.03</formula>
    </cfRule>
  </conditionalFormatting>
  <conditionalFormatting sqref="AA75">
    <cfRule type="cellIs" dxfId="749" priority="179" operator="greaterThan">
      <formula>0.03</formula>
    </cfRule>
    <cfRule type="cellIs" dxfId="748" priority="180" stopIfTrue="1" operator="lessThan">
      <formula>-0.03</formula>
    </cfRule>
  </conditionalFormatting>
  <conditionalFormatting sqref="Y74:Z74">
    <cfRule type="cellIs" dxfId="747" priority="173" operator="greaterThan">
      <formula>0.03</formula>
    </cfRule>
    <cfRule type="cellIs" dxfId="746" priority="174" stopIfTrue="1" operator="lessThan">
      <formula>-0.03</formula>
    </cfRule>
  </conditionalFormatting>
  <conditionalFormatting sqref="Y66:Z66">
    <cfRule type="cellIs" dxfId="745" priority="177" operator="greaterThan">
      <formula>0.03</formula>
    </cfRule>
    <cfRule type="cellIs" dxfId="744" priority="178" stopIfTrue="1" operator="lessThan">
      <formula>-0.03</formula>
    </cfRule>
  </conditionalFormatting>
  <conditionalFormatting sqref="Y70:Z70">
    <cfRule type="cellIs" dxfId="743" priority="175" operator="greaterThan">
      <formula>0.03</formula>
    </cfRule>
    <cfRule type="cellIs" dxfId="742" priority="176" stopIfTrue="1" operator="lessThan">
      <formula>-0.03</formula>
    </cfRule>
  </conditionalFormatting>
  <conditionalFormatting sqref="Y78:Z78">
    <cfRule type="cellIs" dxfId="741" priority="171" operator="greaterThan">
      <formula>0.03</formula>
    </cfRule>
    <cfRule type="cellIs" dxfId="740" priority="172" stopIfTrue="1" operator="lessThan">
      <formula>-0.03</formula>
    </cfRule>
  </conditionalFormatting>
  <conditionalFormatting sqref="Y99">
    <cfRule type="cellIs" dxfId="739" priority="115" operator="greaterThan">
      <formula>0.03</formula>
    </cfRule>
    <cfRule type="cellIs" dxfId="738" priority="116" stopIfTrue="1" operator="lessThan">
      <formula>-0.03</formula>
    </cfRule>
  </conditionalFormatting>
  <conditionalFormatting sqref="V91:X106">
    <cfRule type="cellIs" dxfId="737" priority="129" operator="greaterThan">
      <formula>0.03</formula>
    </cfRule>
    <cfRule type="cellIs" dxfId="736" priority="130" stopIfTrue="1" operator="lessThan">
      <formula>-0.03</formula>
    </cfRule>
  </conditionalFormatting>
  <conditionalFormatting sqref="Y91">
    <cfRule type="cellIs" dxfId="735" priority="127" operator="greaterThan">
      <formula>0.03</formula>
    </cfRule>
    <cfRule type="cellIs" dxfId="734" priority="128" stopIfTrue="1" operator="lessThan">
      <formula>-0.03</formula>
    </cfRule>
  </conditionalFormatting>
  <conditionalFormatting sqref="Z91">
    <cfRule type="cellIs" dxfId="733" priority="125" operator="greaterThan">
      <formula>0.03</formula>
    </cfRule>
    <cfRule type="cellIs" dxfId="732" priority="126" stopIfTrue="1" operator="lessThan">
      <formula>-0.03</formula>
    </cfRule>
  </conditionalFormatting>
  <conditionalFormatting sqref="AA91">
    <cfRule type="cellIs" dxfId="731" priority="123" operator="greaterThan">
      <formula>0.03</formula>
    </cfRule>
    <cfRule type="cellIs" dxfId="730" priority="124" stopIfTrue="1" operator="lessThan">
      <formula>-0.03</formula>
    </cfRule>
  </conditionalFormatting>
  <conditionalFormatting sqref="Y95">
    <cfRule type="cellIs" dxfId="729" priority="121" operator="greaterThan">
      <formula>0.03</formula>
    </cfRule>
    <cfRule type="cellIs" dxfId="728" priority="122" stopIfTrue="1" operator="lessThan">
      <formula>-0.03</formula>
    </cfRule>
  </conditionalFormatting>
  <conditionalFormatting sqref="Z95">
    <cfRule type="cellIs" dxfId="727" priority="119" operator="greaterThan">
      <formula>0.03</formula>
    </cfRule>
    <cfRule type="cellIs" dxfId="726" priority="120" stopIfTrue="1" operator="lessThan">
      <formula>-0.03</formula>
    </cfRule>
  </conditionalFormatting>
  <conditionalFormatting sqref="AA95">
    <cfRule type="cellIs" dxfId="725" priority="117" operator="greaterThan">
      <formula>0.03</formula>
    </cfRule>
    <cfRule type="cellIs" dxfId="724" priority="118" stopIfTrue="1" operator="lessThan">
      <formula>-0.03</formula>
    </cfRule>
  </conditionalFormatting>
  <conditionalFormatting sqref="Z99">
    <cfRule type="cellIs" dxfId="723" priority="113" operator="greaterThan">
      <formula>0.03</formula>
    </cfRule>
    <cfRule type="cellIs" dxfId="722" priority="114" stopIfTrue="1" operator="lessThan">
      <formula>-0.03</formula>
    </cfRule>
  </conditionalFormatting>
  <conditionalFormatting sqref="AA99">
    <cfRule type="cellIs" dxfId="721" priority="111" operator="greaterThan">
      <formula>0.03</formula>
    </cfRule>
    <cfRule type="cellIs" dxfId="720" priority="112" stopIfTrue="1" operator="lessThan">
      <formula>-0.03</formula>
    </cfRule>
  </conditionalFormatting>
  <conditionalFormatting sqref="Y102:Z102">
    <cfRule type="cellIs" dxfId="719" priority="99" operator="greaterThan">
      <formula>0.03</formula>
    </cfRule>
    <cfRule type="cellIs" dxfId="718" priority="100" stopIfTrue="1" operator="lessThan">
      <formula>-0.03</formula>
    </cfRule>
  </conditionalFormatting>
  <conditionalFormatting sqref="Y98:Z98">
    <cfRule type="cellIs" dxfId="717" priority="101" operator="greaterThan">
      <formula>0.03</formula>
    </cfRule>
    <cfRule type="cellIs" dxfId="716" priority="102" stopIfTrue="1" operator="lessThan">
      <formula>-0.03</formula>
    </cfRule>
  </conditionalFormatting>
  <conditionalFormatting sqref="Y106:Z106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17"/>
  <sheetViews>
    <sheetView topLeftCell="A40" workbookViewId="0">
      <selection activeCell="R89" sqref="R89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12" t="s">
        <v>85</v>
      </c>
      <c r="E1" s="113"/>
      <c r="F1" s="113"/>
      <c r="G1" s="113"/>
      <c r="H1" s="113"/>
      <c r="I1" s="113"/>
      <c r="J1" s="114"/>
      <c r="L1" s="112" t="s">
        <v>86</v>
      </c>
      <c r="M1" s="113"/>
      <c r="N1" s="113"/>
      <c r="O1" s="113"/>
      <c r="P1" s="113"/>
      <c r="Q1" s="113"/>
      <c r="R1" s="114"/>
      <c r="S1" s="27"/>
      <c r="T1" s="27"/>
      <c r="U1" s="5"/>
      <c r="V1" s="112" t="s">
        <v>87</v>
      </c>
      <c r="W1" s="113"/>
      <c r="X1" s="114"/>
      <c r="Y1" s="112" t="s">
        <v>88</v>
      </c>
      <c r="Z1" s="113"/>
      <c r="AA1" s="114"/>
    </row>
    <row r="2" spans="1:27" ht="12.75" customHeight="1" thickBot="1" x14ac:dyDescent="0.25">
      <c r="A2" s="46"/>
      <c r="B2" s="42"/>
      <c r="C2" s="41" t="s">
        <v>89</v>
      </c>
      <c r="D2" s="6" t="s">
        <v>49</v>
      </c>
      <c r="E2" s="7" t="s">
        <v>50</v>
      </c>
      <c r="F2" s="7" t="s">
        <v>51</v>
      </c>
      <c r="G2" s="7" t="s">
        <v>52</v>
      </c>
      <c r="H2" s="7" t="s">
        <v>90</v>
      </c>
      <c r="I2" s="7" t="s">
        <v>91</v>
      </c>
      <c r="J2" s="8" t="s">
        <v>92</v>
      </c>
      <c r="K2" s="5"/>
      <c r="L2" s="6" t="s">
        <v>49</v>
      </c>
      <c r="M2" s="7" t="s">
        <v>50</v>
      </c>
      <c r="N2" s="7" t="s">
        <v>51</v>
      </c>
      <c r="O2" s="7" t="s">
        <v>52</v>
      </c>
      <c r="P2" s="7" t="s">
        <v>90</v>
      </c>
      <c r="Q2" s="7" t="s">
        <v>91</v>
      </c>
      <c r="R2" s="8" t="s">
        <v>92</v>
      </c>
      <c r="S2" s="5" t="s">
        <v>108</v>
      </c>
      <c r="T2" s="5" t="s">
        <v>109</v>
      </c>
      <c r="U2" s="5"/>
      <c r="V2" s="6" t="s">
        <v>3</v>
      </c>
      <c r="W2" s="7" t="s">
        <v>4</v>
      </c>
      <c r="X2" s="8" t="s">
        <v>5</v>
      </c>
      <c r="Y2" s="6" t="s">
        <v>3</v>
      </c>
      <c r="Z2" s="7" t="s">
        <v>4</v>
      </c>
      <c r="AA2" s="8" t="s">
        <v>5</v>
      </c>
    </row>
    <row r="3" spans="1:27" x14ac:dyDescent="0.2">
      <c r="A3" s="24" t="s">
        <v>10</v>
      </c>
      <c r="B3" s="24" t="s">
        <v>48</v>
      </c>
      <c r="C3" s="24">
        <v>22</v>
      </c>
      <c r="D3" s="9">
        <f>Reference!B105</f>
        <v>28286.987799999999</v>
      </c>
      <c r="E3" s="10">
        <f>Reference!C105</f>
        <v>40.324800000000003</v>
      </c>
      <c r="F3" s="10">
        <f>Reference!D105</f>
        <v>49.102800000000002</v>
      </c>
      <c r="G3" s="10">
        <f>Reference!E105</f>
        <v>47.4193</v>
      </c>
      <c r="H3" s="10">
        <f>Reference!F105</f>
        <v>427027.68935499998</v>
      </c>
      <c r="I3" s="10">
        <f>Reference!G105</f>
        <v>153.66053295099999</v>
      </c>
      <c r="J3" s="11">
        <f t="shared" ref="J3:J34" si="0">H3/3600</f>
        <v>118.61880259861111</v>
      </c>
      <c r="L3" s="9">
        <v>28286.991020408099</v>
      </c>
      <c r="M3" s="10">
        <v>40.324754421768702</v>
      </c>
      <c r="N3" s="10">
        <v>49.102830612244901</v>
      </c>
      <c r="O3" s="10">
        <v>47.419237755102003</v>
      </c>
      <c r="P3" s="10">
        <v>491358.62999999902</v>
      </c>
      <c r="Q3" s="10">
        <v>200.88399999999999</v>
      </c>
      <c r="R3" s="11">
        <f t="shared" ref="R3:R34" si="1">P3/3600</f>
        <v>136.48850833333307</v>
      </c>
      <c r="S3" s="10">
        <f t="shared" ref="S3:S34" si="2">P3/H3</f>
        <v>1.1506481716494008</v>
      </c>
      <c r="T3" s="10">
        <f t="shared" ref="T3:T34" si="3">Q3/I3</f>
        <v>1.3073233324269338</v>
      </c>
      <c r="U3" s="47"/>
      <c r="V3" s="30">
        <f>bdrate($D3:$D6,E3:E6,$L3:$L6,M3:M6)</f>
        <v>2.815685718560168E-5</v>
      </c>
      <c r="W3" s="35">
        <f>bdrate($D3:$D6,F3:F6,$L3:$L6,N3:N6)</f>
        <v>-1.3063412722336132E-5</v>
      </c>
      <c r="X3" s="36">
        <f>bdrate($D3:$D6,G3:G6,$L3:$L6,O3:O6)</f>
        <v>1.4164373873581937E-5</v>
      </c>
      <c r="Y3" s="30">
        <f>bdrateOld($D3:$D6,E3:E6,$L3:$L6,M3:M6)</f>
        <v>2.9968025235804774E-5</v>
      </c>
      <c r="Z3" s="35">
        <f>bdrateOld($D3:$D6,F3:F6,$L3:$L6,N3:N6)</f>
        <v>-1.4343322728649355E-5</v>
      </c>
      <c r="AA3" s="36">
        <f>bdrateOld($D3:$D6,G3:G6,$L3:$L6,O3:O6)</f>
        <v>1.5416766339981791E-5</v>
      </c>
    </row>
    <row r="4" spans="1:27" x14ac:dyDescent="0.2">
      <c r="A4" s="25" t="s">
        <v>95</v>
      </c>
      <c r="B4" s="25"/>
      <c r="C4" s="25">
        <v>27</v>
      </c>
      <c r="D4" s="12">
        <f>Reference!B106</f>
        <v>7651.1607999999997</v>
      </c>
      <c r="E4" s="13">
        <f>Reference!C106</f>
        <v>39.573700000000002</v>
      </c>
      <c r="F4" s="13">
        <f>Reference!D106</f>
        <v>48.326999999999998</v>
      </c>
      <c r="G4" s="13">
        <f>Reference!E106</f>
        <v>46.198300000000003</v>
      </c>
      <c r="H4" s="13">
        <f>Reference!F106</f>
        <v>199857.688888</v>
      </c>
      <c r="I4" s="13">
        <f>Reference!G106</f>
        <v>127.672544003</v>
      </c>
      <c r="J4" s="14">
        <f t="shared" si="0"/>
        <v>55.516024691111113</v>
      </c>
      <c r="L4" s="12">
        <v>7651.1640816326499</v>
      </c>
      <c r="M4" s="13">
        <v>39.573667687074803</v>
      </c>
      <c r="N4" s="13">
        <v>48.326991496598602</v>
      </c>
      <c r="O4" s="13">
        <v>46.198277551020396</v>
      </c>
      <c r="P4" s="13">
        <v>218885.87</v>
      </c>
      <c r="Q4" s="13">
        <v>152.435</v>
      </c>
      <c r="R4" s="14">
        <f t="shared" si="1"/>
        <v>60.801630555555555</v>
      </c>
      <c r="S4" s="13">
        <f t="shared" si="2"/>
        <v>1.0952086518055524</v>
      </c>
      <c r="T4" s="13">
        <f t="shared" si="3"/>
        <v>1.1939528673950301</v>
      </c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>
        <f>Reference!B107</f>
        <v>3803.8629000000001</v>
      </c>
      <c r="E5" s="13">
        <f>Reference!C107</f>
        <v>38.631100000000004</v>
      </c>
      <c r="F5" s="13">
        <f>Reference!D107</f>
        <v>47.5105</v>
      </c>
      <c r="G5" s="13">
        <f>Reference!E107</f>
        <v>44.991700000000002</v>
      </c>
      <c r="H5" s="13">
        <f>Reference!F107</f>
        <v>123687.630177</v>
      </c>
      <c r="I5" s="13">
        <f>Reference!G107</f>
        <v>103.387618065</v>
      </c>
      <c r="J5" s="14">
        <f t="shared" si="0"/>
        <v>34.357675049166666</v>
      </c>
      <c r="L5" s="12">
        <v>3803.8661224489701</v>
      </c>
      <c r="M5" s="13">
        <v>38.631076530612198</v>
      </c>
      <c r="N5" s="13">
        <v>47.510539115646203</v>
      </c>
      <c r="O5" s="13">
        <v>44.991722108843497</v>
      </c>
      <c r="P5" s="13">
        <v>135842.02299999999</v>
      </c>
      <c r="Q5" s="13">
        <v>132.34</v>
      </c>
      <c r="R5" s="14">
        <f t="shared" si="1"/>
        <v>37.733895277777776</v>
      </c>
      <c r="S5" s="13">
        <f t="shared" si="2"/>
        <v>1.0982668420892756</v>
      </c>
      <c r="T5" s="13">
        <f t="shared" si="3"/>
        <v>1.2800372276378162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>
        <f>Reference!B108</f>
        <v>2087.2473</v>
      </c>
      <c r="E6" s="17">
        <f>Reference!C108</f>
        <v>37.2087</v>
      </c>
      <c r="F6" s="17">
        <f>Reference!D108</f>
        <v>46.628599999999999</v>
      </c>
      <c r="G6" s="17">
        <f>Reference!E108</f>
        <v>43.691099999999999</v>
      </c>
      <c r="H6" s="17">
        <f>Reference!F108</f>
        <v>78830.463585100006</v>
      </c>
      <c r="I6" s="17">
        <f>Reference!G108</f>
        <v>88.317420005800003</v>
      </c>
      <c r="J6" s="18">
        <f t="shared" si="0"/>
        <v>21.897350995861114</v>
      </c>
      <c r="L6" s="16">
        <v>2087.2506122448899</v>
      </c>
      <c r="M6" s="17">
        <v>37.208667687074801</v>
      </c>
      <c r="N6" s="17">
        <v>46.628576190476103</v>
      </c>
      <c r="O6" s="17">
        <v>43.691080612244797</v>
      </c>
      <c r="P6" s="17">
        <v>86405.494999999995</v>
      </c>
      <c r="Q6" s="17">
        <v>117.39899999999901</v>
      </c>
      <c r="R6" s="18">
        <f t="shared" si="1"/>
        <v>24.001526388888887</v>
      </c>
      <c r="S6" s="13">
        <f t="shared" si="2"/>
        <v>1.0960926914595968</v>
      </c>
      <c r="T6" s="13">
        <f t="shared" si="3"/>
        <v>1.3292847548342008</v>
      </c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54</v>
      </c>
      <c r="C7" s="24">
        <v>22</v>
      </c>
      <c r="D7" s="9">
        <f>Reference!B109</f>
        <v>17685.089599999999</v>
      </c>
      <c r="E7" s="10">
        <f>Reference!C109</f>
        <v>44.164400000000001</v>
      </c>
      <c r="F7" s="10">
        <f>Reference!D109</f>
        <v>49.017200000000003</v>
      </c>
      <c r="G7" s="10">
        <f>Reference!E109</f>
        <v>49.642499999999998</v>
      </c>
      <c r="H7" s="10">
        <f>Reference!F109</f>
        <v>267397.84968099999</v>
      </c>
      <c r="I7" s="10">
        <f>Reference!G109</f>
        <v>141.936374903</v>
      </c>
      <c r="J7" s="11">
        <f t="shared" si="0"/>
        <v>74.277180466944444</v>
      </c>
      <c r="L7" s="9">
        <v>17685.092799999999</v>
      </c>
      <c r="M7" s="10">
        <v>44.164442999999999</v>
      </c>
      <c r="N7" s="10">
        <v>49.017226666666602</v>
      </c>
      <c r="O7" s="10">
        <v>49.642478666666598</v>
      </c>
      <c r="P7" s="10">
        <v>305673.02499999898</v>
      </c>
      <c r="Q7" s="10">
        <v>183.797</v>
      </c>
      <c r="R7" s="11">
        <f t="shared" si="1"/>
        <v>84.90917361111083</v>
      </c>
      <c r="S7" s="13">
        <f t="shared" si="2"/>
        <v>1.1431394282514256</v>
      </c>
      <c r="T7" s="13">
        <f t="shared" si="3"/>
        <v>1.2949252799052233</v>
      </c>
      <c r="U7" s="48"/>
      <c r="V7" s="30">
        <f>bdrate($D7:$D10,E7:E10,$L7:$L10,M7:M10)</f>
        <v>-5.9434544050773752E-6</v>
      </c>
      <c r="W7" s="35">
        <f>bdrate($D7:$D10,F7:F10,$L7:$L10,N7:N10)</f>
        <v>-3.4363059163711185E-6</v>
      </c>
      <c r="X7" s="35">
        <f>bdrate($D7:$D10,G7:G10,$L7:$L10,O7:O10)</f>
        <v>-2.1524300348740866E-6</v>
      </c>
      <c r="Y7" s="33">
        <f>bdrateOld($D7:$D10,E7:E10,$L7:$L10,M7:M10)</f>
        <v>-7.3173145699323427E-6</v>
      </c>
      <c r="Z7" s="37">
        <f>bdrateOld($D7:$D10,F7:F10,$L7:$L10,N7:N10)</f>
        <v>-3.2283757817053171E-6</v>
      </c>
      <c r="AA7" s="38">
        <f>bdrateOld($D7:$D10,G7:G10,$L7:$L10,O7:O10)</f>
        <v>-3.1045719449673825E-6</v>
      </c>
    </row>
    <row r="8" spans="1:27" x14ac:dyDescent="0.2">
      <c r="A8" s="25"/>
      <c r="B8" s="25"/>
      <c r="C8" s="25">
        <v>27</v>
      </c>
      <c r="D8" s="12">
        <f>Reference!B110</f>
        <v>7707.1904000000004</v>
      </c>
      <c r="E8" s="13">
        <f>Reference!C110</f>
        <v>42.654800000000002</v>
      </c>
      <c r="F8" s="13">
        <f>Reference!D110</f>
        <v>47.253500000000003</v>
      </c>
      <c r="G8" s="13">
        <f>Reference!E110</f>
        <v>47.685099999999998</v>
      </c>
      <c r="H8" s="13">
        <f>Reference!F110</f>
        <v>156618.805227</v>
      </c>
      <c r="I8" s="13">
        <f>Reference!G110</f>
        <v>122.142318964</v>
      </c>
      <c r="J8" s="14">
        <f t="shared" si="0"/>
        <v>43.505223674166665</v>
      </c>
      <c r="L8" s="12">
        <v>7707.1935999999996</v>
      </c>
      <c r="M8" s="13">
        <v>42.654777666666597</v>
      </c>
      <c r="N8" s="13">
        <v>47.253510333333303</v>
      </c>
      <c r="O8" s="13">
        <v>47.685122</v>
      </c>
      <c r="P8" s="13">
        <v>178685.76599999901</v>
      </c>
      <c r="Q8" s="13">
        <v>161.91999999999999</v>
      </c>
      <c r="R8" s="14">
        <f t="shared" si="1"/>
        <v>49.634934999999729</v>
      </c>
      <c r="S8" s="13">
        <f t="shared" si="2"/>
        <v>1.1408959846234021</v>
      </c>
      <c r="T8" s="13">
        <f t="shared" si="3"/>
        <v>1.3256666597899127</v>
      </c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>
        <f>Reference!B111</f>
        <v>4048.0144</v>
      </c>
      <c r="E9" s="13">
        <f>Reference!C111</f>
        <v>40.720500000000001</v>
      </c>
      <c r="F9" s="13">
        <f>Reference!D111</f>
        <v>45.775199999999998</v>
      </c>
      <c r="G9" s="13">
        <f>Reference!E111</f>
        <v>46.085500000000003</v>
      </c>
      <c r="H9" s="13">
        <f>Reference!F111</f>
        <v>106858.32533000001</v>
      </c>
      <c r="I9" s="13">
        <f>Reference!G111</f>
        <v>109.191241026</v>
      </c>
      <c r="J9" s="14">
        <f t="shared" si="0"/>
        <v>29.682868147222223</v>
      </c>
      <c r="L9" s="12">
        <v>4048.0176000000001</v>
      </c>
      <c r="M9" s="13">
        <v>40.720556666666603</v>
      </c>
      <c r="N9" s="13">
        <v>45.775207666666603</v>
      </c>
      <c r="O9" s="13">
        <v>46.085483666666597</v>
      </c>
      <c r="P9" s="13">
        <v>116231.765999999</v>
      </c>
      <c r="Q9" s="13">
        <v>141.61600000000001</v>
      </c>
      <c r="R9" s="14">
        <f t="shared" si="1"/>
        <v>32.286601666666385</v>
      </c>
      <c r="S9" s="13">
        <f t="shared" si="2"/>
        <v>1.0877183938738693</v>
      </c>
      <c r="T9" s="13">
        <f t="shared" si="3"/>
        <v>1.2969538460166343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>
        <f>Reference!B112</f>
        <v>2148.4112</v>
      </c>
      <c r="E10" s="17">
        <f>Reference!C112</f>
        <v>38.3429</v>
      </c>
      <c r="F10" s="17">
        <f>Reference!D112</f>
        <v>44.412799999999997</v>
      </c>
      <c r="G10" s="17">
        <f>Reference!E112</f>
        <v>44.563499999999998</v>
      </c>
      <c r="H10" s="17">
        <f>Reference!F112</f>
        <v>68919.337430700005</v>
      </c>
      <c r="I10" s="17">
        <f>Reference!G112</f>
        <v>87.978848934200002</v>
      </c>
      <c r="J10" s="18">
        <f t="shared" si="0"/>
        <v>19.144260397416669</v>
      </c>
      <c r="L10" s="16">
        <v>2148.4144000000001</v>
      </c>
      <c r="M10" s="17">
        <v>38.342884666666599</v>
      </c>
      <c r="N10" s="17">
        <v>44.412782666666601</v>
      </c>
      <c r="O10" s="17">
        <v>44.563555000000001</v>
      </c>
      <c r="P10" s="17">
        <v>74555.735000000001</v>
      </c>
      <c r="Q10" s="17">
        <v>113.155</v>
      </c>
      <c r="R10" s="18">
        <f t="shared" si="1"/>
        <v>20.709926388888888</v>
      </c>
      <c r="S10" s="13">
        <f t="shared" si="2"/>
        <v>1.0817825269282011</v>
      </c>
      <c r="T10" s="13">
        <f t="shared" si="3"/>
        <v>1.2861614055058781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56</v>
      </c>
      <c r="C11" s="24">
        <v>22</v>
      </c>
      <c r="D11" s="9">
        <f>Reference!B113</f>
        <v>60909.163200000003</v>
      </c>
      <c r="E11" s="10">
        <f>Reference!C113</f>
        <v>39.501899999999999</v>
      </c>
      <c r="F11" s="10">
        <f>Reference!D113</f>
        <v>42.2316</v>
      </c>
      <c r="G11" s="10">
        <f>Reference!E113</f>
        <v>42.522199999999998</v>
      </c>
      <c r="H11" s="10">
        <f>Reference!F113</f>
        <v>671165.03346199996</v>
      </c>
      <c r="I11" s="10">
        <f>Reference!G113</f>
        <v>220.290034056</v>
      </c>
      <c r="J11" s="11">
        <f t="shared" si="0"/>
        <v>186.43473151722222</v>
      </c>
      <c r="L11" s="9">
        <v>60909.164799999999</v>
      </c>
      <c r="M11" s="10">
        <v>39.501877999999998</v>
      </c>
      <c r="N11" s="10">
        <v>42.231617333333297</v>
      </c>
      <c r="O11" s="10">
        <v>42.522169666666599</v>
      </c>
      <c r="P11" s="10">
        <v>764182.96</v>
      </c>
      <c r="Q11" s="10">
        <v>298.88200000000001</v>
      </c>
      <c r="R11" s="11">
        <f t="shared" si="1"/>
        <v>212.27304444444442</v>
      </c>
      <c r="S11" s="13">
        <f t="shared" si="2"/>
        <v>1.1385917351179566</v>
      </c>
      <c r="T11" s="13">
        <f t="shared" si="3"/>
        <v>1.3567658713240796</v>
      </c>
      <c r="U11" s="48"/>
      <c r="V11" s="30">
        <f>bdrate($D11:$D14,E11:E14,$L11:$L14,M11:M14)</f>
        <v>-1.5797543425621896E-5</v>
      </c>
      <c r="W11" s="35">
        <f>bdrate($D11:$D14,F11:F14,$L11:$L14,N11:N14)</f>
        <v>-6.7498850077063466E-6</v>
      </c>
      <c r="X11" s="35">
        <f>bdrate($D11:$D14,G11:G14,$L11:$L14,O11:O14)</f>
        <v>1.736286053599656E-5</v>
      </c>
      <c r="Y11" s="33">
        <f>bdrateOld($D11:$D14,E11:E14,$L11:$L14,M11:M14)</f>
        <v>-1.7565010240083723E-5</v>
      </c>
      <c r="Z11" s="37">
        <f>bdrateOld($D11:$D14,F11:F14,$L11:$L14,N11:N14)</f>
        <v>-8.7527877022930411E-6</v>
      </c>
      <c r="AA11" s="38">
        <f>bdrateOld($D11:$D14,G11:G14,$L11:$L14,O11:O14)</f>
        <v>1.7480534489910937E-5</v>
      </c>
    </row>
    <row r="12" spans="1:27" x14ac:dyDescent="0.2">
      <c r="A12" s="25"/>
      <c r="B12" s="25"/>
      <c r="C12" s="25">
        <v>27</v>
      </c>
      <c r="D12" s="12">
        <f>Reference!B114</f>
        <v>17732.125599999999</v>
      </c>
      <c r="E12" s="13">
        <f>Reference!C114</f>
        <v>37.529699999999998</v>
      </c>
      <c r="F12" s="13">
        <f>Reference!D114</f>
        <v>39.025300000000001</v>
      </c>
      <c r="G12" s="13">
        <f>Reference!E114</f>
        <v>40.997999999999998</v>
      </c>
      <c r="H12" s="13">
        <f>Reference!F114</f>
        <v>353120.51296199998</v>
      </c>
      <c r="I12" s="13">
        <f>Reference!G114</f>
        <v>146.502042055</v>
      </c>
      <c r="J12" s="14">
        <f t="shared" si="0"/>
        <v>98.089031378333331</v>
      </c>
      <c r="L12" s="12">
        <v>17732.127199999999</v>
      </c>
      <c r="M12" s="13">
        <v>37.529744000000001</v>
      </c>
      <c r="N12" s="13">
        <v>39.025334999999998</v>
      </c>
      <c r="O12" s="13">
        <v>40.997979999999998</v>
      </c>
      <c r="P12" s="13">
        <v>396614.79</v>
      </c>
      <c r="Q12" s="13">
        <v>194.506</v>
      </c>
      <c r="R12" s="14">
        <f t="shared" si="1"/>
        <v>110.17077499999999</v>
      </c>
      <c r="S12" s="13">
        <f t="shared" si="2"/>
        <v>1.1231711991840034</v>
      </c>
      <c r="T12" s="13">
        <f t="shared" si="3"/>
        <v>1.3276675005456804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>
        <f>Reference!B115</f>
        <v>8977.1368000000002</v>
      </c>
      <c r="E13" s="13">
        <f>Reference!C115</f>
        <v>36.4084</v>
      </c>
      <c r="F13" s="13">
        <f>Reference!D115</f>
        <v>37.383600000000001</v>
      </c>
      <c r="G13" s="13">
        <f>Reference!E115</f>
        <v>39.8643</v>
      </c>
      <c r="H13" s="13">
        <f>Reference!F115</f>
        <v>236606.785298</v>
      </c>
      <c r="I13" s="13">
        <f>Reference!G115</f>
        <v>118.521477938</v>
      </c>
      <c r="J13" s="14">
        <f t="shared" si="0"/>
        <v>65.724107027222217</v>
      </c>
      <c r="L13" s="12">
        <v>8977.1383999999998</v>
      </c>
      <c r="M13" s="13">
        <v>36.408438333333301</v>
      </c>
      <c r="N13" s="13">
        <v>37.383591999999901</v>
      </c>
      <c r="O13" s="13">
        <v>39.864274666666603</v>
      </c>
      <c r="P13" s="13">
        <v>256204.74600000001</v>
      </c>
      <c r="Q13" s="13">
        <v>149.59199999999899</v>
      </c>
      <c r="R13" s="14">
        <f t="shared" si="1"/>
        <v>71.167985000000002</v>
      </c>
      <c r="S13" s="13">
        <f t="shared" si="2"/>
        <v>1.0828292421002081</v>
      </c>
      <c r="T13" s="13">
        <f t="shared" si="3"/>
        <v>1.2621509839613403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>
        <f>Reference!B116</f>
        <v>4914.72</v>
      </c>
      <c r="E14" s="17">
        <f>Reference!C116</f>
        <v>35.023899999999998</v>
      </c>
      <c r="F14" s="17">
        <f>Reference!D116</f>
        <v>35.306800000000003</v>
      </c>
      <c r="G14" s="17">
        <f>Reference!E116</f>
        <v>38.546599999999998</v>
      </c>
      <c r="H14" s="17">
        <f>Reference!F116</f>
        <v>156050.32546299999</v>
      </c>
      <c r="I14" s="17">
        <f>Reference!G116</f>
        <v>95.592811822900003</v>
      </c>
      <c r="J14" s="18">
        <f t="shared" si="0"/>
        <v>43.347312628611107</v>
      </c>
      <c r="L14" s="16">
        <v>4914.7215999999999</v>
      </c>
      <c r="M14" s="17">
        <v>35.023924333333298</v>
      </c>
      <c r="N14" s="17">
        <v>35.306795666666602</v>
      </c>
      <c r="O14" s="17">
        <v>38.546534999999999</v>
      </c>
      <c r="P14" s="17">
        <v>173932.41899999999</v>
      </c>
      <c r="Q14" s="17">
        <v>126.693</v>
      </c>
      <c r="R14" s="18">
        <f t="shared" si="1"/>
        <v>48.314560833333331</v>
      </c>
      <c r="S14" s="13">
        <f t="shared" si="2"/>
        <v>1.1145918374982173</v>
      </c>
      <c r="T14" s="13">
        <f t="shared" si="3"/>
        <v>1.3253402382881858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11</v>
      </c>
      <c r="B15" s="24" t="s">
        <v>58</v>
      </c>
      <c r="C15" s="24">
        <v>22</v>
      </c>
      <c r="D15" s="9">
        <f>Reference!B117</f>
        <v>34185.902399999999</v>
      </c>
      <c r="E15" s="10">
        <f>Reference!C117</f>
        <v>40.366599999999998</v>
      </c>
      <c r="F15" s="10">
        <f>Reference!D117</f>
        <v>41.841200000000001</v>
      </c>
      <c r="G15" s="10">
        <f>Reference!E117</f>
        <v>43.517699999999998</v>
      </c>
      <c r="H15" s="10">
        <f>Reference!F117</f>
        <v>298341.25611999998</v>
      </c>
      <c r="I15" s="10">
        <f>Reference!G117</f>
        <v>168.94708108899999</v>
      </c>
      <c r="J15" s="11">
        <f t="shared" si="0"/>
        <v>82.872571144444436</v>
      </c>
      <c r="L15" s="9">
        <v>34185.905599999998</v>
      </c>
      <c r="M15" s="10">
        <v>40.366642333333303</v>
      </c>
      <c r="N15" s="10">
        <v>41.841166333333298</v>
      </c>
      <c r="O15" s="10">
        <v>43.517664666666597</v>
      </c>
      <c r="P15" s="10">
        <v>344967.467</v>
      </c>
      <c r="Q15" s="10">
        <v>212.53800000000001</v>
      </c>
      <c r="R15" s="11">
        <f t="shared" si="1"/>
        <v>95.824296388888897</v>
      </c>
      <c r="S15" s="10">
        <f t="shared" si="2"/>
        <v>1.1562848245877393</v>
      </c>
      <c r="T15" s="10">
        <f t="shared" si="3"/>
        <v>1.2580152236429385</v>
      </c>
      <c r="U15" s="47"/>
      <c r="V15" s="30">
        <f>bdrate($D15:$D18,E15:E18,$L15:$L18,M15:M18)</f>
        <v>-1.166508112493414E-5</v>
      </c>
      <c r="W15" s="35">
        <f>bdrate($D15:$D18,F15:F18,$L15:$L18,N15:N18)</f>
        <v>1.2009829661874249E-5</v>
      </c>
      <c r="X15" s="36">
        <f>bdrate($D15:$D18,G15:G18,$L15:$L18,O15:O18)</f>
        <v>9.1021752541831091E-6</v>
      </c>
      <c r="Y15" s="30">
        <f>bdrateOld($D15:$D18,E15:E18,$L15:$L18,M15:M18)</f>
        <v>-1.3216756094225346E-5</v>
      </c>
      <c r="Z15" s="35">
        <f>bdrateOld($D15:$D18,F15:F18,$L15:$L18,N15:N18)</f>
        <v>1.2758933812584417E-5</v>
      </c>
      <c r="AA15" s="36">
        <f>bdrateOld($D15:$D18,G15:G18,$L15:$L18,O15:O18)</f>
        <v>8.7263819092964212E-6</v>
      </c>
    </row>
    <row r="16" spans="1:27" x14ac:dyDescent="0.2">
      <c r="A16" s="25" t="s">
        <v>95</v>
      </c>
      <c r="B16" s="25"/>
      <c r="C16" s="25">
        <v>27</v>
      </c>
      <c r="D16" s="12">
        <f>Reference!B118</f>
        <v>8930.8799999999992</v>
      </c>
      <c r="E16" s="13">
        <f>Reference!C118</f>
        <v>39.337299999999999</v>
      </c>
      <c r="F16" s="13">
        <f>Reference!D118</f>
        <v>41.3033</v>
      </c>
      <c r="G16" s="13">
        <f>Reference!E118</f>
        <v>42.345999999999997</v>
      </c>
      <c r="H16" s="13">
        <f>Reference!F118</f>
        <v>156393.20960100001</v>
      </c>
      <c r="I16" s="13">
        <f>Reference!G118</f>
        <v>109.2110672</v>
      </c>
      <c r="J16" s="14">
        <f t="shared" si="0"/>
        <v>43.442558222500004</v>
      </c>
      <c r="L16" s="12">
        <v>8930.8831999999893</v>
      </c>
      <c r="M16" s="13">
        <v>39.337302333333298</v>
      </c>
      <c r="N16" s="13">
        <v>41.303299666666597</v>
      </c>
      <c r="O16" s="13">
        <v>42.346027333333303</v>
      </c>
      <c r="P16" s="13">
        <v>179628.61799999999</v>
      </c>
      <c r="Q16" s="13">
        <v>145.71799999999999</v>
      </c>
      <c r="R16" s="14">
        <f t="shared" si="1"/>
        <v>49.896838333333328</v>
      </c>
      <c r="S16" s="13">
        <f t="shared" si="2"/>
        <v>1.1485704427850774</v>
      </c>
      <c r="T16" s="13">
        <f t="shared" si="3"/>
        <v>1.3342786929564954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>
        <f>Reference!B119</f>
        <v>4368.6736000000001</v>
      </c>
      <c r="E17" s="13">
        <f>Reference!C119</f>
        <v>38.044899999999998</v>
      </c>
      <c r="F17" s="13">
        <f>Reference!D119</f>
        <v>40.717799999999997</v>
      </c>
      <c r="G17" s="13">
        <f>Reference!E119</f>
        <v>41.171300000000002</v>
      </c>
      <c r="H17" s="13">
        <f>Reference!F119</f>
        <v>99570.106096000003</v>
      </c>
      <c r="I17" s="13">
        <f>Reference!G119</f>
        <v>91.179028034200002</v>
      </c>
      <c r="J17" s="14">
        <f t="shared" si="0"/>
        <v>27.658362804444444</v>
      </c>
      <c r="L17" s="12">
        <v>4368.6768000000002</v>
      </c>
      <c r="M17" s="13">
        <v>38.0449256666666</v>
      </c>
      <c r="N17" s="13">
        <v>40.7177923333333</v>
      </c>
      <c r="O17" s="13">
        <v>41.171246333333301</v>
      </c>
      <c r="P17" s="13">
        <v>114069.444999999</v>
      </c>
      <c r="Q17" s="13">
        <v>121.857</v>
      </c>
      <c r="R17" s="14">
        <f t="shared" si="1"/>
        <v>31.685956944444168</v>
      </c>
      <c r="S17" s="13">
        <f t="shared" si="2"/>
        <v>1.1456193979548392</v>
      </c>
      <c r="T17" s="13">
        <f t="shared" si="3"/>
        <v>1.3364586421593911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>
        <f>Reference!B120</f>
        <v>2315.2864</v>
      </c>
      <c r="E18" s="17">
        <f>Reference!C120</f>
        <v>36.2864</v>
      </c>
      <c r="F18" s="17">
        <f>Reference!D120</f>
        <v>40.053600000000003</v>
      </c>
      <c r="G18" s="17">
        <f>Reference!E120</f>
        <v>39.955100000000002</v>
      </c>
      <c r="H18" s="17">
        <f>Reference!F120</f>
        <v>68302.833966599996</v>
      </c>
      <c r="I18" s="17">
        <f>Reference!G120</f>
        <v>78.437357187299995</v>
      </c>
      <c r="J18" s="18">
        <f t="shared" si="0"/>
        <v>18.973009435166666</v>
      </c>
      <c r="L18" s="16">
        <v>2315.2896000000001</v>
      </c>
      <c r="M18" s="17">
        <v>36.286393333333301</v>
      </c>
      <c r="N18" s="17">
        <v>40.053636333333301</v>
      </c>
      <c r="O18" s="17">
        <v>39.955111666666603</v>
      </c>
      <c r="P18" s="17">
        <v>74885.065999999904</v>
      </c>
      <c r="Q18" s="17">
        <v>104.491</v>
      </c>
      <c r="R18" s="18">
        <f t="shared" si="1"/>
        <v>20.801407222222196</v>
      </c>
      <c r="S18" s="13">
        <f t="shared" si="2"/>
        <v>1.096368359131608</v>
      </c>
      <c r="T18" s="13">
        <f t="shared" si="3"/>
        <v>1.3321586007861879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59</v>
      </c>
      <c r="C19" s="24">
        <v>22</v>
      </c>
      <c r="D19" s="9">
        <f>Reference!B121</f>
        <v>60838.113599999997</v>
      </c>
      <c r="E19" s="10">
        <f>Reference!C121</f>
        <v>38.123100000000001</v>
      </c>
      <c r="F19" s="10">
        <f>Reference!D121</f>
        <v>45.600200000000001</v>
      </c>
      <c r="G19" s="10">
        <f>Reference!E121</f>
        <v>43.353200000000001</v>
      </c>
      <c r="H19" s="10">
        <f>Reference!F121</f>
        <v>480303.24833700003</v>
      </c>
      <c r="I19" s="10">
        <f>Reference!G121</f>
        <v>197.33212018</v>
      </c>
      <c r="J19" s="11">
        <f t="shared" si="0"/>
        <v>133.4175689825</v>
      </c>
      <c r="L19" s="9">
        <v>60838.116799999902</v>
      </c>
      <c r="M19" s="10">
        <v>38.123096333333301</v>
      </c>
      <c r="N19" s="10">
        <v>45.600176666666599</v>
      </c>
      <c r="O19" s="10">
        <v>43.3532163333333</v>
      </c>
      <c r="P19" s="10">
        <v>551458.40499999898</v>
      </c>
      <c r="Q19" s="10">
        <v>254.65899999999999</v>
      </c>
      <c r="R19" s="11">
        <f t="shared" si="1"/>
        <v>153.18289027777749</v>
      </c>
      <c r="S19" s="13">
        <f t="shared" si="2"/>
        <v>1.1481463157065173</v>
      </c>
      <c r="T19" s="13">
        <f t="shared" si="3"/>
        <v>1.2905096229022841</v>
      </c>
      <c r="U19" s="48"/>
      <c r="V19" s="30">
        <f>bdrate($D19:$D22,E19:E22,$L19:$L22,M19:M22)</f>
        <v>-8.6998887082190279E-6</v>
      </c>
      <c r="W19" s="35">
        <f>bdrate($D19:$D22,F19:F22,$L19:$L22,N19:N22)</f>
        <v>1.0745397126532552E-5</v>
      </c>
      <c r="X19" s="35">
        <f>bdrate($D19:$D22,G19:G22,$L19:$L22,O19:O22)</f>
        <v>1.8328768128794692E-5</v>
      </c>
      <c r="Y19" s="33">
        <f>bdrateOld($D19:$D22,E19:E22,$L19:$L22,M19:M22)</f>
        <v>-8.8405322851148327E-6</v>
      </c>
      <c r="Z19" s="37">
        <f>bdrateOld($D19:$D22,F19:F22,$L19:$L22,N19:N22)</f>
        <v>1.322749105203691E-5</v>
      </c>
      <c r="AA19" s="38">
        <f>bdrateOld($D19:$D22,G19:G22,$L19:$L22,O19:O22)</f>
        <v>1.6281588534283742E-5</v>
      </c>
    </row>
    <row r="20" spans="1:27" x14ac:dyDescent="0.2">
      <c r="A20" s="25"/>
      <c r="B20" s="25"/>
      <c r="C20" s="25">
        <v>27</v>
      </c>
      <c r="D20" s="12">
        <f>Reference!B122</f>
        <v>10717.939200000001</v>
      </c>
      <c r="E20" s="13">
        <f>Reference!C122</f>
        <v>37.1952</v>
      </c>
      <c r="F20" s="13">
        <f>Reference!D122</f>
        <v>44.816600000000001</v>
      </c>
      <c r="G20" s="13">
        <f>Reference!E122</f>
        <v>42.404000000000003</v>
      </c>
      <c r="H20" s="13">
        <f>Reference!F122</f>
        <v>196631.49568299999</v>
      </c>
      <c r="I20" s="13">
        <f>Reference!G122</f>
        <v>132.08796715700001</v>
      </c>
      <c r="J20" s="14">
        <f t="shared" si="0"/>
        <v>54.619859911944438</v>
      </c>
      <c r="L20" s="12">
        <v>10717.9424</v>
      </c>
      <c r="M20" s="13">
        <v>37.195201333333301</v>
      </c>
      <c r="N20" s="13">
        <v>44.816599333333301</v>
      </c>
      <c r="O20" s="13">
        <v>42.403961333333299</v>
      </c>
      <c r="P20" s="13">
        <v>224112.46299999999</v>
      </c>
      <c r="Q20" s="13">
        <v>185.433999999999</v>
      </c>
      <c r="R20" s="14">
        <f t="shared" si="1"/>
        <v>62.253461944444439</v>
      </c>
      <c r="S20" s="13">
        <f t="shared" si="2"/>
        <v>1.1397587259433937</v>
      </c>
      <c r="T20" s="13">
        <f t="shared" si="3"/>
        <v>1.4038674679548349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>
        <f>Reference!B123</f>
        <v>4458.8991999999998</v>
      </c>
      <c r="E21" s="13">
        <f>Reference!C123</f>
        <v>36.240600000000001</v>
      </c>
      <c r="F21" s="13">
        <f>Reference!D123</f>
        <v>43.994599999999998</v>
      </c>
      <c r="G21" s="13">
        <f>Reference!E123</f>
        <v>41.4377</v>
      </c>
      <c r="H21" s="13">
        <f>Reference!F123</f>
        <v>116204.431673</v>
      </c>
      <c r="I21" s="13">
        <f>Reference!G123</f>
        <v>109.820343971</v>
      </c>
      <c r="J21" s="14">
        <f t="shared" si="0"/>
        <v>32.279008798055557</v>
      </c>
      <c r="L21" s="12">
        <v>4458.9023999999999</v>
      </c>
      <c r="M21" s="13">
        <v>36.240630999999901</v>
      </c>
      <c r="N21" s="13">
        <v>43.9946013333333</v>
      </c>
      <c r="O21" s="13">
        <v>41.4376859999999</v>
      </c>
      <c r="P21" s="13">
        <v>127691.68799999999</v>
      </c>
      <c r="Q21" s="13">
        <v>148.809</v>
      </c>
      <c r="R21" s="14">
        <f t="shared" si="1"/>
        <v>35.469913333333331</v>
      </c>
      <c r="S21" s="13">
        <f t="shared" si="2"/>
        <v>1.0988538574787337</v>
      </c>
      <c r="T21" s="13">
        <f t="shared" si="3"/>
        <v>1.3550221627360377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>
        <f>Reference!B124</f>
        <v>2232.6336000000001</v>
      </c>
      <c r="E22" s="17">
        <f>Reference!C124</f>
        <v>34.846499999999999</v>
      </c>
      <c r="F22" s="17">
        <f>Reference!D124</f>
        <v>43.066099999999999</v>
      </c>
      <c r="G22" s="17">
        <f>Reference!E124</f>
        <v>40.371699999999997</v>
      </c>
      <c r="H22" s="17">
        <f>Reference!F124</f>
        <v>71477.922163900002</v>
      </c>
      <c r="I22" s="17">
        <f>Reference!G124</f>
        <v>95.855064153699999</v>
      </c>
      <c r="J22" s="18">
        <f t="shared" si="0"/>
        <v>19.854978378861112</v>
      </c>
      <c r="L22" s="16">
        <v>2232.6367999999902</v>
      </c>
      <c r="M22" s="17">
        <v>34.8465073333333</v>
      </c>
      <c r="N22" s="17">
        <v>43.066069999999897</v>
      </c>
      <c r="O22" s="17">
        <v>40.371693666666602</v>
      </c>
      <c r="P22" s="17">
        <v>81476.902000000002</v>
      </c>
      <c r="Q22" s="17">
        <v>124.801</v>
      </c>
      <c r="R22" s="18">
        <f t="shared" si="1"/>
        <v>22.632472777777778</v>
      </c>
      <c r="S22" s="13">
        <f t="shared" si="2"/>
        <v>1.1398890669089705</v>
      </c>
      <c r="T22" s="13">
        <f t="shared" si="3"/>
        <v>1.3019760729582976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60</v>
      </c>
      <c r="C23" s="24">
        <v>22</v>
      </c>
      <c r="D23" s="9">
        <f>Reference!B125</f>
        <v>113157.3227</v>
      </c>
      <c r="E23" s="10">
        <f>Reference!C125</f>
        <v>43.067700000000002</v>
      </c>
      <c r="F23" s="10">
        <f>Reference!D125</f>
        <v>37.918700000000001</v>
      </c>
      <c r="G23" s="10">
        <f>Reference!E125</f>
        <v>38.837899999999998</v>
      </c>
      <c r="H23" s="10">
        <f>Reference!F125</f>
        <v>440814.14692999999</v>
      </c>
      <c r="I23" s="10">
        <f>Reference!G125</f>
        <v>245.310477972</v>
      </c>
      <c r="J23" s="11">
        <f t="shared" si="0"/>
        <v>122.44837414722222</v>
      </c>
      <c r="L23" s="9">
        <v>113157.32533333301</v>
      </c>
      <c r="M23" s="10">
        <v>43.0677076666666</v>
      </c>
      <c r="N23" s="10">
        <v>37.918699333333301</v>
      </c>
      <c r="O23" s="10">
        <v>38.837860333333303</v>
      </c>
      <c r="P23" s="10">
        <v>505139.08299999998</v>
      </c>
      <c r="Q23" s="10">
        <v>333.74400000000003</v>
      </c>
      <c r="R23" s="11">
        <f t="shared" si="1"/>
        <v>140.31641194444444</v>
      </c>
      <c r="S23" s="13">
        <f t="shared" si="2"/>
        <v>1.1459230301885357</v>
      </c>
      <c r="T23" s="13">
        <f t="shared" si="3"/>
        <v>1.3604963096525127</v>
      </c>
      <c r="U23" s="48"/>
      <c r="V23" s="30">
        <f>bdrate($D23:$D26,E23:E26,$L23:$L26,M23:M26)</f>
        <v>-1.0922566211490903E-6</v>
      </c>
      <c r="W23" s="35">
        <f>bdrate($D23:$D26,F23:F26,$L23:$L26,N23:N26)</f>
        <v>1.0517822684574796E-5</v>
      </c>
      <c r="X23" s="35">
        <f>bdrate($D23:$D26,G23:G26,$L23:$L26,O23:O26)</f>
        <v>-4.4118438342621857E-6</v>
      </c>
      <c r="Y23" s="33">
        <f>bdrateOld($D23:$D26,E23:E26,$L23:$L26,M23:M26)</f>
        <v>-1.3727765231230649E-6</v>
      </c>
      <c r="Z23" s="37">
        <f>bdrateOld($D23:$D26,F23:F26,$L23:$L26,N23:N26)</f>
        <v>8.3023655095271209E-6</v>
      </c>
      <c r="AA23" s="38">
        <f>bdrateOld($D23:$D26,G23:G26,$L23:$L26,O23:O26)</f>
        <v>-5.9083773159551711E-6</v>
      </c>
    </row>
    <row r="24" spans="1:27" x14ac:dyDescent="0.2">
      <c r="A24" s="25"/>
      <c r="B24" s="25"/>
      <c r="C24" s="25">
        <v>27</v>
      </c>
      <c r="D24" s="12">
        <f>Reference!B126</f>
        <v>44934.965300000003</v>
      </c>
      <c r="E24" s="13">
        <f>Reference!C126</f>
        <v>39.109200000000001</v>
      </c>
      <c r="F24" s="13">
        <f>Reference!D126</f>
        <v>35.005400000000002</v>
      </c>
      <c r="G24" s="13">
        <f>Reference!E126</f>
        <v>36.260199999999998</v>
      </c>
      <c r="H24" s="13">
        <f>Reference!F126</f>
        <v>280456.60044200002</v>
      </c>
      <c r="I24" s="13">
        <f>Reference!G126</f>
        <v>196.55516505200001</v>
      </c>
      <c r="J24" s="14">
        <f t="shared" si="0"/>
        <v>77.9046112338889</v>
      </c>
      <c r="L24" s="12">
        <v>44934.968000000001</v>
      </c>
      <c r="M24" s="13">
        <v>39.109207666666599</v>
      </c>
      <c r="N24" s="13">
        <v>35.005389666666602</v>
      </c>
      <c r="O24" s="13">
        <v>36.2602233333333</v>
      </c>
      <c r="P24" s="13">
        <v>320003</v>
      </c>
      <c r="Q24" s="13">
        <v>273.84199999999902</v>
      </c>
      <c r="R24" s="14">
        <f t="shared" si="1"/>
        <v>88.889722222222218</v>
      </c>
      <c r="S24" s="13">
        <f t="shared" si="2"/>
        <v>1.1410071986028312</v>
      </c>
      <c r="T24" s="13">
        <f t="shared" si="3"/>
        <v>1.3932068380271374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>
        <f>Reference!B127</f>
        <v>21300.76</v>
      </c>
      <c r="E25" s="13">
        <f>Reference!C127</f>
        <v>35.867400000000004</v>
      </c>
      <c r="F25" s="13">
        <f>Reference!D127</f>
        <v>33.277200000000001</v>
      </c>
      <c r="G25" s="13">
        <f>Reference!E127</f>
        <v>34.718499999999999</v>
      </c>
      <c r="H25" s="13">
        <f>Reference!F127</f>
        <v>201433.890514</v>
      </c>
      <c r="I25" s="13">
        <f>Reference!G127</f>
        <v>159.96581888200001</v>
      </c>
      <c r="J25" s="14">
        <f t="shared" si="0"/>
        <v>55.953858476111108</v>
      </c>
      <c r="L25" s="12">
        <v>21300.7626666666</v>
      </c>
      <c r="M25" s="13">
        <v>35.867393</v>
      </c>
      <c r="N25" s="13">
        <v>33.277146666666603</v>
      </c>
      <c r="O25" s="13">
        <v>34.718506999999903</v>
      </c>
      <c r="P25" s="13">
        <v>221547.829</v>
      </c>
      <c r="Q25" s="13">
        <v>216.26</v>
      </c>
      <c r="R25" s="14">
        <f t="shared" si="1"/>
        <v>61.541063611111113</v>
      </c>
      <c r="S25" s="13">
        <f t="shared" si="2"/>
        <v>1.099853795380088</v>
      </c>
      <c r="T25" s="13">
        <f t="shared" si="3"/>
        <v>1.3519138120345935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>
        <f>Reference!B128</f>
        <v>9517.4933000000001</v>
      </c>
      <c r="E26" s="17">
        <f>Reference!C128</f>
        <v>32.942500000000003</v>
      </c>
      <c r="F26" s="17">
        <f>Reference!D128</f>
        <v>31.7883</v>
      </c>
      <c r="G26" s="17">
        <f>Reference!E128</f>
        <v>33.401800000000001</v>
      </c>
      <c r="H26" s="17">
        <f>Reference!F128</f>
        <v>136043.30347399999</v>
      </c>
      <c r="I26" s="17">
        <f>Reference!G128</f>
        <v>123.284329891</v>
      </c>
      <c r="J26" s="18">
        <f t="shared" si="0"/>
        <v>37.789806520555551</v>
      </c>
      <c r="L26" s="16">
        <v>9517.4959999999992</v>
      </c>
      <c r="M26" s="17">
        <v>32.942523333333298</v>
      </c>
      <c r="N26" s="17">
        <v>31.7882586666666</v>
      </c>
      <c r="O26" s="17">
        <v>33.4018156666666</v>
      </c>
      <c r="P26" s="17">
        <v>153701.826</v>
      </c>
      <c r="Q26" s="17">
        <v>172.84899999999999</v>
      </c>
      <c r="R26" s="18">
        <f t="shared" si="1"/>
        <v>42.694951666666668</v>
      </c>
      <c r="S26" s="13">
        <f t="shared" si="2"/>
        <v>1.1298007478139109</v>
      </c>
      <c r="T26" s="13">
        <f t="shared" si="3"/>
        <v>1.4020354424023058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12</v>
      </c>
      <c r="B27" s="24" t="s">
        <v>61</v>
      </c>
      <c r="C27" s="24">
        <v>22</v>
      </c>
      <c r="D27" s="9">
        <f>Reference!B129</f>
        <v>14583.7832</v>
      </c>
      <c r="E27" s="10">
        <f>Reference!C129</f>
        <v>40.779600000000002</v>
      </c>
      <c r="F27" s="10">
        <f>Reference!D129</f>
        <v>44.256500000000003</v>
      </c>
      <c r="G27" s="10">
        <f>Reference!E129</f>
        <v>45.156199999999998</v>
      </c>
      <c r="H27" s="10">
        <f>Reference!F129</f>
        <v>171691.201027</v>
      </c>
      <c r="I27" s="10">
        <f>Reference!G129</f>
        <v>90.439898014099995</v>
      </c>
      <c r="J27" s="11">
        <f t="shared" si="0"/>
        <v>47.692000285277778</v>
      </c>
      <c r="L27" s="9">
        <v>14583.784799999999</v>
      </c>
      <c r="M27" s="10">
        <v>40.779583666666603</v>
      </c>
      <c r="N27" s="10">
        <v>44.256542833333299</v>
      </c>
      <c r="O27" s="10">
        <v>45.156240166666599</v>
      </c>
      <c r="P27" s="10">
        <v>191094.28299999901</v>
      </c>
      <c r="Q27" s="10">
        <v>121.898</v>
      </c>
      <c r="R27" s="11">
        <f t="shared" si="1"/>
        <v>53.0817452777775</v>
      </c>
      <c r="S27" s="10">
        <f t="shared" si="2"/>
        <v>1.113011510531327</v>
      </c>
      <c r="T27" s="10">
        <f t="shared" si="3"/>
        <v>1.347834337241242</v>
      </c>
      <c r="U27" s="47"/>
      <c r="V27" s="30">
        <f>bdrate($D27:$D30,E27:E30,$L27:$L30,M27:M30)</f>
        <v>7.1450080807444749E-7</v>
      </c>
      <c r="W27" s="35">
        <f>bdrate($D27:$D30,F27:F30,$L27:$L30,N27:N30)</f>
        <v>-2.150111642063024E-7</v>
      </c>
      <c r="X27" s="36">
        <f>bdrate($D27:$D30,G27:G30,$L27:$L30,O27:O30)</f>
        <v>-5.1429565914862252E-6</v>
      </c>
      <c r="Y27" s="30">
        <f>bdrateOld($D27:$D30,E27:E30,$L27:$L30,M27:M30)</f>
        <v>1.0086373185558273E-6</v>
      </c>
      <c r="Z27" s="35">
        <f>bdrateOld($D27:$D30,F27:F30,$L27:$L30,N27:N30)</f>
        <v>-1.3911151069967431E-6</v>
      </c>
      <c r="AA27" s="36">
        <f>bdrateOld($D27:$D30,G27:G30,$L27:$L30,O27:O30)</f>
        <v>-5.5192111301227698E-6</v>
      </c>
    </row>
    <row r="28" spans="1:27" x14ac:dyDescent="0.2">
      <c r="A28" s="25" t="s">
        <v>96</v>
      </c>
      <c r="B28" s="25"/>
      <c r="C28" s="25">
        <v>27</v>
      </c>
      <c r="D28" s="12">
        <f>Reference!B130</f>
        <v>5606.5528000000004</v>
      </c>
      <c r="E28" s="13">
        <f>Reference!C130</f>
        <v>38.657400000000003</v>
      </c>
      <c r="F28" s="13">
        <f>Reference!D130</f>
        <v>42.744</v>
      </c>
      <c r="G28" s="13">
        <f>Reference!E130</f>
        <v>43.777700000000003</v>
      </c>
      <c r="H28" s="13">
        <f>Reference!F130</f>
        <v>93389.197486100005</v>
      </c>
      <c r="I28" s="13">
        <f>Reference!G130</f>
        <v>69.265849113499996</v>
      </c>
      <c r="J28" s="14">
        <f t="shared" si="0"/>
        <v>25.941443746138891</v>
      </c>
      <c r="L28" s="12">
        <v>5606.5544</v>
      </c>
      <c r="M28" s="13">
        <v>38.657435999999997</v>
      </c>
      <c r="N28" s="13">
        <v>42.7439896666666</v>
      </c>
      <c r="O28" s="13">
        <v>43.7777003333333</v>
      </c>
      <c r="P28" s="13">
        <v>107184.855999999</v>
      </c>
      <c r="Q28" s="13">
        <v>93.882000000000005</v>
      </c>
      <c r="R28" s="14">
        <f t="shared" si="1"/>
        <v>29.773571111110833</v>
      </c>
      <c r="S28" s="13">
        <f t="shared" si="2"/>
        <v>1.1477222086200316</v>
      </c>
      <c r="T28" s="13">
        <f t="shared" si="3"/>
        <v>1.3553865462063943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Reference!B131</f>
        <v>2537.6968000000002</v>
      </c>
      <c r="E29" s="13">
        <f>Reference!C131</f>
        <v>36.456499999999998</v>
      </c>
      <c r="F29" s="13">
        <f>Reference!D131</f>
        <v>41.547600000000003</v>
      </c>
      <c r="G29" s="13">
        <f>Reference!E131</f>
        <v>42.6</v>
      </c>
      <c r="H29" s="13">
        <f>Reference!F131</f>
        <v>62725.765206999997</v>
      </c>
      <c r="I29" s="13">
        <f>Reference!G131</f>
        <v>56.558344841</v>
      </c>
      <c r="J29" s="14">
        <f t="shared" si="0"/>
        <v>17.42382366861111</v>
      </c>
      <c r="L29" s="12">
        <v>2537.6983999999902</v>
      </c>
      <c r="M29" s="13">
        <v>36.456464499999903</v>
      </c>
      <c r="N29" s="13">
        <v>41.547578499999901</v>
      </c>
      <c r="O29" s="13">
        <v>42.599991500000002</v>
      </c>
      <c r="P29" s="13">
        <v>71618.057999999903</v>
      </c>
      <c r="Q29" s="13">
        <v>74.810999999999893</v>
      </c>
      <c r="R29" s="14">
        <f t="shared" si="1"/>
        <v>19.893904999999972</v>
      </c>
      <c r="S29" s="13">
        <f t="shared" si="2"/>
        <v>1.1417645964725123</v>
      </c>
      <c r="T29" s="13">
        <f t="shared" si="3"/>
        <v>1.3227225833838099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Reference!B132</f>
        <v>1126.8720000000001</v>
      </c>
      <c r="E30" s="17">
        <f>Reference!C132</f>
        <v>34.131900000000002</v>
      </c>
      <c r="F30" s="17">
        <f>Reference!D132</f>
        <v>40.442500000000003</v>
      </c>
      <c r="G30" s="17">
        <f>Reference!E132</f>
        <v>41.434899999999999</v>
      </c>
      <c r="H30" s="17">
        <f>Reference!F132</f>
        <v>41600.765552800003</v>
      </c>
      <c r="I30" s="17">
        <f>Reference!G132</f>
        <v>44.404675960500001</v>
      </c>
      <c r="J30" s="18">
        <f t="shared" si="0"/>
        <v>11.555768209111111</v>
      </c>
      <c r="L30" s="16">
        <v>1126.8735999999999</v>
      </c>
      <c r="M30" s="17">
        <v>34.131910333333302</v>
      </c>
      <c r="N30" s="17">
        <v>40.442551333333299</v>
      </c>
      <c r="O30" s="17">
        <v>41.434942666666601</v>
      </c>
      <c r="P30" s="17">
        <v>47334.436999999998</v>
      </c>
      <c r="Q30" s="17">
        <v>58.758999999999901</v>
      </c>
      <c r="R30" s="18">
        <f t="shared" si="1"/>
        <v>13.148454722222223</v>
      </c>
      <c r="S30" s="13">
        <f t="shared" si="2"/>
        <v>1.1378261041836544</v>
      </c>
      <c r="T30" s="13">
        <f t="shared" si="3"/>
        <v>1.323261542371545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62</v>
      </c>
      <c r="C31" s="24">
        <v>22</v>
      </c>
      <c r="D31" s="9">
        <f>Reference!B133</f>
        <v>9716.9912000000004</v>
      </c>
      <c r="E31" s="10">
        <f>Reference!C133</f>
        <v>44.419600000000003</v>
      </c>
      <c r="F31" s="10">
        <f>Reference!D133</f>
        <v>47.479500000000002</v>
      </c>
      <c r="G31" s="10">
        <f>Reference!E133</f>
        <v>48.4482</v>
      </c>
      <c r="H31" s="10">
        <f>Reference!F133</f>
        <v>164907.91571100001</v>
      </c>
      <c r="I31" s="10">
        <f>Reference!G133</f>
        <v>84.562978029299998</v>
      </c>
      <c r="J31" s="11">
        <f t="shared" si="0"/>
        <v>45.807754364166669</v>
      </c>
      <c r="K31" s="81"/>
      <c r="L31" s="9">
        <v>9716.9928</v>
      </c>
      <c r="M31" s="10">
        <v>44.419579499999898</v>
      </c>
      <c r="N31" s="10">
        <v>47.479533333333301</v>
      </c>
      <c r="O31" s="10">
        <v>48.4482103333333</v>
      </c>
      <c r="P31" s="10">
        <v>181070.45199999999</v>
      </c>
      <c r="Q31" s="10">
        <v>110.989</v>
      </c>
      <c r="R31" s="11">
        <f t="shared" si="1"/>
        <v>50.297347777777773</v>
      </c>
      <c r="S31" s="13">
        <f t="shared" si="2"/>
        <v>1.0980094631559392</v>
      </c>
      <c r="T31" s="13">
        <f t="shared" si="3"/>
        <v>1.3125010801008419</v>
      </c>
      <c r="U31" s="48"/>
      <c r="V31" s="30">
        <f>bdrate($D31:$D34,E31:E34,$L31:$L34,M31:M34)</f>
        <v>-2.2093307638915149E-6</v>
      </c>
      <c r="W31" s="35">
        <f>bdrate($D31:$D34,F31:F34,$L31:$L34,N31:N34)</f>
        <v>9.3613688818550145E-6</v>
      </c>
      <c r="X31" s="35">
        <f>bdrate($D31:$D34,G31:G34,$L31:$L34,O31:O34)</f>
        <v>1.1185421276316276E-5</v>
      </c>
      <c r="Y31" s="33">
        <f>bdrateOld($D31:$D34,E31:E34,$L31:$L34,M31:M34)</f>
        <v>-2.2197080786767742E-6</v>
      </c>
      <c r="Z31" s="37">
        <f>bdrateOld($D31:$D34,F31:F34,$L31:$L34,N31:N34)</f>
        <v>8.5172821786549946E-6</v>
      </c>
      <c r="AA31" s="38">
        <f>bdrateOld($D31:$D34,G31:G34,$L31:$L34,O31:O34)</f>
        <v>1.2633517524340832E-5</v>
      </c>
    </row>
    <row r="32" spans="1:27" x14ac:dyDescent="0.2">
      <c r="A32" s="25"/>
      <c r="B32" s="25"/>
      <c r="C32" s="25">
        <v>27</v>
      </c>
      <c r="D32" s="12">
        <f>Reference!B134</f>
        <v>4798.6072000000004</v>
      </c>
      <c r="E32" s="13">
        <f>Reference!C134</f>
        <v>41.248899999999999</v>
      </c>
      <c r="F32" s="13">
        <f>Reference!D134</f>
        <v>45.340800000000002</v>
      </c>
      <c r="G32" s="13">
        <f>Reference!E134</f>
        <v>46.066099999999999</v>
      </c>
      <c r="H32" s="13">
        <f>Reference!F134</f>
        <v>111769.45017700001</v>
      </c>
      <c r="I32" s="13">
        <f>Reference!G134</f>
        <v>70.254786968199994</v>
      </c>
      <c r="J32" s="14">
        <f t="shared" si="0"/>
        <v>31.047069493611112</v>
      </c>
      <c r="K32" s="81"/>
      <c r="L32" s="12">
        <v>4798.6088</v>
      </c>
      <c r="M32" s="13">
        <v>41.248935833333299</v>
      </c>
      <c r="N32" s="13">
        <v>45.3407633333333</v>
      </c>
      <c r="O32" s="13">
        <v>46.066048166666597</v>
      </c>
      <c r="P32" s="13">
        <v>127655.31</v>
      </c>
      <c r="Q32" s="13">
        <v>91.201999999999998</v>
      </c>
      <c r="R32" s="14">
        <f t="shared" si="1"/>
        <v>35.459808333333335</v>
      </c>
      <c r="S32" s="13">
        <f t="shared" si="2"/>
        <v>1.14213060722624</v>
      </c>
      <c r="T32" s="13">
        <f t="shared" si="3"/>
        <v>1.2981606511920891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Reference!B135</f>
        <v>2545.2352000000001</v>
      </c>
      <c r="E33" s="13">
        <f>Reference!C135</f>
        <v>38.184699999999999</v>
      </c>
      <c r="F33" s="13">
        <f>Reference!D135</f>
        <v>43.815600000000003</v>
      </c>
      <c r="G33" s="13">
        <f>Reference!E135</f>
        <v>44.369700000000002</v>
      </c>
      <c r="H33" s="13">
        <f>Reference!F135</f>
        <v>81692.871946800005</v>
      </c>
      <c r="I33" s="13">
        <f>Reference!G135</f>
        <v>58.2138080597</v>
      </c>
      <c r="J33" s="14">
        <f t="shared" si="0"/>
        <v>22.692464429666668</v>
      </c>
      <c r="K33" s="81"/>
      <c r="L33" s="12">
        <v>2545.2367999999901</v>
      </c>
      <c r="M33" s="13">
        <v>38.184701999999902</v>
      </c>
      <c r="N33" s="13">
        <v>43.815561000000002</v>
      </c>
      <c r="O33" s="13">
        <v>44.3696858333333</v>
      </c>
      <c r="P33" s="13">
        <v>93462.350999999995</v>
      </c>
      <c r="Q33" s="13">
        <v>75.063999999999993</v>
      </c>
      <c r="R33" s="14">
        <f t="shared" si="1"/>
        <v>25.961764166666665</v>
      </c>
      <c r="S33" s="13">
        <f t="shared" si="2"/>
        <v>1.1440698407673133</v>
      </c>
      <c r="T33" s="13">
        <f t="shared" si="3"/>
        <v>1.2894535248925756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Reference!B136</f>
        <v>1324.8584000000001</v>
      </c>
      <c r="E34" s="17">
        <f>Reference!C136</f>
        <v>35.218499999999999</v>
      </c>
      <c r="F34" s="17">
        <f>Reference!D136</f>
        <v>42.529699999999998</v>
      </c>
      <c r="G34" s="17">
        <f>Reference!E136</f>
        <v>42.8643</v>
      </c>
      <c r="H34" s="17">
        <f>Reference!F136</f>
        <v>56330.8016775</v>
      </c>
      <c r="I34" s="17">
        <f>Reference!G136</f>
        <v>46.512850046200001</v>
      </c>
      <c r="J34" s="18">
        <f t="shared" si="0"/>
        <v>15.647444910416667</v>
      </c>
      <c r="K34" s="81"/>
      <c r="L34" s="16">
        <v>1324.86</v>
      </c>
      <c r="M34" s="17">
        <v>35.2185091666666</v>
      </c>
      <c r="N34" s="17">
        <v>42.529716333333297</v>
      </c>
      <c r="O34" s="17">
        <v>42.864263166666603</v>
      </c>
      <c r="P34" s="17">
        <v>63875.943999999901</v>
      </c>
      <c r="Q34" s="17">
        <v>61.292000000000002</v>
      </c>
      <c r="R34" s="18">
        <f t="shared" si="1"/>
        <v>17.743317777777751</v>
      </c>
      <c r="S34" s="13">
        <f t="shared" si="2"/>
        <v>1.1339434571816795</v>
      </c>
      <c r="T34" s="13">
        <f t="shared" si="3"/>
        <v>1.3177433749839078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63</v>
      </c>
      <c r="C35" s="24">
        <v>22</v>
      </c>
      <c r="D35" s="9">
        <f>Reference!B137</f>
        <v>15351.6672</v>
      </c>
      <c r="E35" s="10">
        <f>Reference!C137</f>
        <v>38.652799999999999</v>
      </c>
      <c r="F35" s="10">
        <f>Reference!D137</f>
        <v>40.215699999999998</v>
      </c>
      <c r="G35" s="10">
        <f>Reference!E137</f>
        <v>43.969900000000003</v>
      </c>
      <c r="H35" s="10">
        <f>Reference!F137</f>
        <v>142832.22036000001</v>
      </c>
      <c r="I35" s="10">
        <f>Reference!G137</f>
        <v>72.206397056599997</v>
      </c>
      <c r="J35" s="11">
        <f t="shared" ref="J35:J66" si="4">H35/3600</f>
        <v>39.675616766666671</v>
      </c>
      <c r="L35" s="9">
        <v>15351.668799999999</v>
      </c>
      <c r="M35" s="10">
        <v>38.652790000000003</v>
      </c>
      <c r="N35" s="10">
        <v>40.215730999999998</v>
      </c>
      <c r="O35" s="10">
        <v>43.969896999999897</v>
      </c>
      <c r="P35" s="10">
        <v>162749.641</v>
      </c>
      <c r="Q35" s="10">
        <v>103.538</v>
      </c>
      <c r="R35" s="11">
        <f t="shared" ref="R35:R66" si="5">P35/3600</f>
        <v>45.208233611111112</v>
      </c>
      <c r="S35" s="13">
        <f t="shared" ref="S35:S66" si="6">P35/H35</f>
        <v>1.1394462719251954</v>
      </c>
      <c r="T35" s="13">
        <f t="shared" ref="T35:T66" si="7">Q35/I35</f>
        <v>1.43391727354628</v>
      </c>
      <c r="U35" s="48"/>
      <c r="V35" s="30">
        <f>bdrate($D35:$D38,E35:E38,$L35:$L38,M35:M38)</f>
        <v>1.1277384970309612E-6</v>
      </c>
      <c r="W35" s="35">
        <f>bdrate($D35:$D38,F35:F38,$L35:$L38,N35:N38)</f>
        <v>-2.6297383933782115E-5</v>
      </c>
      <c r="X35" s="35">
        <f>bdrate($D35:$D38,G35:G38,$L35:$L38,O35:O38)</f>
        <v>-1.0699341766784443E-5</v>
      </c>
      <c r="Y35" s="33">
        <f>bdrateOld($D35:$D38,E35:E38,$L35:$L38,M35:M38)</f>
        <v>2.8693180633698745E-6</v>
      </c>
      <c r="Z35" s="37">
        <f>bdrateOld($D35:$D38,F35:F38,$L35:$L38,N35:N38)</f>
        <v>-2.7114351091817035E-5</v>
      </c>
      <c r="AA35" s="38">
        <f>bdrateOld($D35:$D38,G35:G38,$L35:$L38,O35:O38)</f>
        <v>-9.7318751567376793E-6</v>
      </c>
    </row>
    <row r="36" spans="1:27" x14ac:dyDescent="0.2">
      <c r="A36" s="25"/>
      <c r="B36" s="25"/>
      <c r="C36" s="25">
        <v>27</v>
      </c>
      <c r="D36" s="12">
        <f>Reference!B138</f>
        <v>4495.9751999999999</v>
      </c>
      <c r="E36" s="13">
        <f>Reference!C138</f>
        <v>37.109000000000002</v>
      </c>
      <c r="F36" s="13">
        <f>Reference!D138</f>
        <v>39.395400000000002</v>
      </c>
      <c r="G36" s="13">
        <f>Reference!E138</f>
        <v>42.477600000000002</v>
      </c>
      <c r="H36" s="13">
        <f>Reference!F138</f>
        <v>79070.055701699996</v>
      </c>
      <c r="I36" s="13">
        <f>Reference!G138</f>
        <v>47.1878190041</v>
      </c>
      <c r="J36" s="14">
        <f t="shared" si="4"/>
        <v>21.963904361583332</v>
      </c>
      <c r="L36" s="12">
        <v>4495.9767999999904</v>
      </c>
      <c r="M36" s="13">
        <v>37.1090278</v>
      </c>
      <c r="N36" s="13">
        <v>39.395425399999901</v>
      </c>
      <c r="O36" s="13">
        <v>42.477613599999998</v>
      </c>
      <c r="P36" s="13">
        <v>89993.063999999998</v>
      </c>
      <c r="Q36" s="13">
        <v>66.087000000000003</v>
      </c>
      <c r="R36" s="14">
        <f t="shared" si="5"/>
        <v>24.998073333333334</v>
      </c>
      <c r="S36" s="13">
        <f t="shared" si="6"/>
        <v>1.1381434248574225</v>
      </c>
      <c r="T36" s="13">
        <f t="shared" si="7"/>
        <v>1.4005097373595061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Reference!B139</f>
        <v>2088.884</v>
      </c>
      <c r="E37" s="13">
        <f>Reference!C139</f>
        <v>35.394300000000001</v>
      </c>
      <c r="F37" s="13">
        <f>Reference!D139</f>
        <v>38.760399999999997</v>
      </c>
      <c r="G37" s="13">
        <f>Reference!E139</f>
        <v>41.137500000000003</v>
      </c>
      <c r="H37" s="13">
        <f>Reference!F139</f>
        <v>52205.861273100003</v>
      </c>
      <c r="I37" s="13">
        <f>Reference!G139</f>
        <v>38.750919818900002</v>
      </c>
      <c r="J37" s="14">
        <f t="shared" si="4"/>
        <v>14.501628131416668</v>
      </c>
      <c r="L37" s="12">
        <v>2088.8856000000001</v>
      </c>
      <c r="M37" s="13">
        <v>35.394286399999999</v>
      </c>
      <c r="N37" s="13">
        <v>38.760430399999898</v>
      </c>
      <c r="O37" s="13">
        <v>41.137545799999899</v>
      </c>
      <c r="P37" s="13">
        <v>59909.014000000003</v>
      </c>
      <c r="Q37" s="13">
        <v>51.725999999999999</v>
      </c>
      <c r="R37" s="14">
        <f t="shared" si="5"/>
        <v>16.641392777777778</v>
      </c>
      <c r="S37" s="13">
        <f t="shared" si="6"/>
        <v>1.1475534075877643</v>
      </c>
      <c r="T37" s="13">
        <f t="shared" si="7"/>
        <v>1.3348328308524862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Reference!B140</f>
        <v>1010.7984</v>
      </c>
      <c r="E38" s="17">
        <f>Reference!C140</f>
        <v>33.270299999999999</v>
      </c>
      <c r="F38" s="17">
        <f>Reference!D140</f>
        <v>37.994999999999997</v>
      </c>
      <c r="G38" s="17">
        <f>Reference!E140</f>
        <v>39.8215</v>
      </c>
      <c r="H38" s="17">
        <f>Reference!F140</f>
        <v>35505.422497699998</v>
      </c>
      <c r="I38" s="17">
        <f>Reference!G140</f>
        <v>32.760833024999997</v>
      </c>
      <c r="J38" s="18">
        <f t="shared" si="4"/>
        <v>9.8626173604722212</v>
      </c>
      <c r="L38" s="16">
        <v>1010.8</v>
      </c>
      <c r="M38" s="17">
        <v>33.270244599999998</v>
      </c>
      <c r="N38" s="17">
        <v>37.9949581999999</v>
      </c>
      <c r="O38" s="17">
        <v>39.821487399999903</v>
      </c>
      <c r="P38" s="17">
        <v>40595.241999999998</v>
      </c>
      <c r="Q38" s="17">
        <v>42.518000000000001</v>
      </c>
      <c r="R38" s="18">
        <f t="shared" si="5"/>
        <v>11.276456111111111</v>
      </c>
      <c r="S38" s="13">
        <f t="shared" si="6"/>
        <v>1.1433533005452818</v>
      </c>
      <c r="T38" s="13">
        <f t="shared" si="7"/>
        <v>1.2978302464883678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68</v>
      </c>
      <c r="C39" s="24">
        <v>22</v>
      </c>
      <c r="D39" s="9">
        <f>Reference!B141</f>
        <v>14771.662399999999</v>
      </c>
      <c r="E39" s="10">
        <f>Reference!C141</f>
        <v>39.383400000000002</v>
      </c>
      <c r="F39" s="10">
        <f>Reference!D141</f>
        <v>44.188000000000002</v>
      </c>
      <c r="G39" s="10">
        <f>Reference!E141</f>
        <v>45.696100000000001</v>
      </c>
      <c r="H39" s="10">
        <f>Reference!F141</f>
        <v>190634.68012100001</v>
      </c>
      <c r="I39" s="10">
        <f>Reference!G141</f>
        <v>77.942489147200007</v>
      </c>
      <c r="J39" s="11">
        <f t="shared" si="4"/>
        <v>52.954077811388892</v>
      </c>
      <c r="L39" s="9">
        <v>14771.664000000001</v>
      </c>
      <c r="M39" s="10">
        <v>39.3833986</v>
      </c>
      <c r="N39" s="10">
        <v>44.187944199999997</v>
      </c>
      <c r="O39" s="10">
        <v>45.696105399999901</v>
      </c>
      <c r="P39" s="10">
        <v>216476.15599999999</v>
      </c>
      <c r="Q39" s="10">
        <v>105.325999999999</v>
      </c>
      <c r="R39" s="11">
        <f t="shared" si="5"/>
        <v>60.132265555555556</v>
      </c>
      <c r="S39" s="13">
        <f t="shared" si="6"/>
        <v>1.135554957065513</v>
      </c>
      <c r="T39" s="13">
        <f t="shared" si="7"/>
        <v>1.3513296938860042</v>
      </c>
      <c r="U39" s="48"/>
      <c r="V39" s="30">
        <f>bdrate($D39:$D42,E39:E42,$L39:$L42,M39:M42)</f>
        <v>-1.0950696861189435E-5</v>
      </c>
      <c r="W39" s="35">
        <f>bdrate($D39:$D42,F39:F42,$L39:$L42,N39:N42)</f>
        <v>4.3898812707166002E-6</v>
      </c>
      <c r="X39" s="35">
        <f>bdrate($D39:$D42,G39:G42,$L39:$L42,O39:O42)</f>
        <v>2.9350963748342451E-6</v>
      </c>
      <c r="Y39" s="33">
        <f>bdrateOld($D39:$D42,E39:E42,$L39:$L42,M39:M42)</f>
        <v>-1.0922956534820116E-5</v>
      </c>
      <c r="Z39" s="37">
        <f>bdrateOld($D39:$D42,F39:F42,$L39:$L42,N39:N42)</f>
        <v>4.288998822321588E-6</v>
      </c>
      <c r="AA39" s="38">
        <f>bdrateOld($D39:$D42,G39:G42,$L39:$L42,O39:O42)</f>
        <v>2.2134997446077165E-6</v>
      </c>
    </row>
    <row r="40" spans="1:27" x14ac:dyDescent="0.2">
      <c r="A40" s="25"/>
      <c r="B40" s="25"/>
      <c r="C40" s="25">
        <v>27</v>
      </c>
      <c r="D40" s="12">
        <f>Reference!B142</f>
        <v>4820.7528000000002</v>
      </c>
      <c r="E40" s="13">
        <f>Reference!C142</f>
        <v>37.717799999999997</v>
      </c>
      <c r="F40" s="13">
        <f>Reference!D142</f>
        <v>43.087499999999999</v>
      </c>
      <c r="G40" s="13">
        <f>Reference!E142</f>
        <v>43.889299999999999</v>
      </c>
      <c r="H40" s="13">
        <f>Reference!F142</f>
        <v>108848.34086900001</v>
      </c>
      <c r="I40" s="13">
        <f>Reference!G142</f>
        <v>57.716483116100001</v>
      </c>
      <c r="J40" s="14">
        <f t="shared" si="4"/>
        <v>30.235650241388893</v>
      </c>
      <c r="L40" s="12">
        <v>4820.7543999999998</v>
      </c>
      <c r="M40" s="13">
        <v>37.717807200000003</v>
      </c>
      <c r="N40" s="13">
        <v>43.087505200000003</v>
      </c>
      <c r="O40" s="13">
        <v>43.889301599999897</v>
      </c>
      <c r="P40" s="13">
        <v>124327.117999999</v>
      </c>
      <c r="Q40" s="13">
        <v>76.273999999999901</v>
      </c>
      <c r="R40" s="14">
        <f t="shared" si="5"/>
        <v>34.535310555555277</v>
      </c>
      <c r="S40" s="13">
        <f t="shared" si="6"/>
        <v>1.1422049891383079</v>
      </c>
      <c r="T40" s="13">
        <f t="shared" si="7"/>
        <v>1.3215288923022284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Reference!B143</f>
        <v>2279.3847999999998</v>
      </c>
      <c r="E41" s="13">
        <f>Reference!C143</f>
        <v>35.985199999999999</v>
      </c>
      <c r="F41" s="13">
        <f>Reference!D143</f>
        <v>42.094799999999999</v>
      </c>
      <c r="G41" s="13">
        <f>Reference!E143</f>
        <v>42.426000000000002</v>
      </c>
      <c r="H41" s="13">
        <f>Reference!F143</f>
        <v>70717.051875399993</v>
      </c>
      <c r="I41" s="13">
        <f>Reference!G143</f>
        <v>50.110920906099999</v>
      </c>
      <c r="J41" s="14">
        <f t="shared" si="4"/>
        <v>19.643625520944443</v>
      </c>
      <c r="L41" s="12">
        <v>2279.3863999999999</v>
      </c>
      <c r="M41" s="13">
        <v>35.985263199999999</v>
      </c>
      <c r="N41" s="13">
        <v>42.094802199999997</v>
      </c>
      <c r="O41" s="13">
        <v>42.425968599999997</v>
      </c>
      <c r="P41" s="13">
        <v>80597.647999999899</v>
      </c>
      <c r="Q41" s="13">
        <v>64.726999999999904</v>
      </c>
      <c r="R41" s="14">
        <f t="shared" si="5"/>
        <v>22.388235555555529</v>
      </c>
      <c r="S41" s="13">
        <f t="shared" si="6"/>
        <v>1.139720136269383</v>
      </c>
      <c r="T41" s="13">
        <f t="shared" si="7"/>
        <v>1.291674525824184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Reference!B144</f>
        <v>1147.9272000000001</v>
      </c>
      <c r="E42" s="17">
        <f>Reference!C144</f>
        <v>33.977600000000002</v>
      </c>
      <c r="F42" s="17">
        <f>Reference!D144</f>
        <v>41.073999999999998</v>
      </c>
      <c r="G42" s="17">
        <f>Reference!E144</f>
        <v>40.9392</v>
      </c>
      <c r="H42" s="17">
        <f>Reference!F144</f>
        <v>46583.163316500002</v>
      </c>
      <c r="I42" s="17">
        <f>Reference!G144</f>
        <v>42.091827869399999</v>
      </c>
      <c r="J42" s="18">
        <f t="shared" si="4"/>
        <v>12.939767587916668</v>
      </c>
      <c r="L42" s="16">
        <v>1147.9287999999999</v>
      </c>
      <c r="M42" s="17">
        <v>33.977615399999998</v>
      </c>
      <c r="N42" s="17">
        <v>41.074032600000002</v>
      </c>
      <c r="O42" s="17">
        <v>40.939234599999999</v>
      </c>
      <c r="P42" s="17">
        <v>52902.877</v>
      </c>
      <c r="Q42" s="17">
        <v>56.212000000000003</v>
      </c>
      <c r="R42" s="18">
        <f t="shared" si="5"/>
        <v>14.695243611111112</v>
      </c>
      <c r="S42" s="13">
        <f t="shared" si="6"/>
        <v>1.1356651895999841</v>
      </c>
      <c r="T42" s="13">
        <f t="shared" si="7"/>
        <v>1.335461129756855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69</v>
      </c>
      <c r="C43" s="24">
        <v>22</v>
      </c>
      <c r="D43" s="9">
        <f>Reference!B145</f>
        <v>33080.568800000001</v>
      </c>
      <c r="E43" s="10">
        <f>Reference!C145</f>
        <v>37.386699999999998</v>
      </c>
      <c r="F43" s="10">
        <f>Reference!D145</f>
        <v>42.500599999999999</v>
      </c>
      <c r="G43" s="10">
        <f>Reference!E145</f>
        <v>44.715299999999999</v>
      </c>
      <c r="H43" s="10">
        <f>Reference!F145</f>
        <v>148494.55862299999</v>
      </c>
      <c r="I43" s="10">
        <f>Reference!G145</f>
        <v>119.686007023</v>
      </c>
      <c r="J43" s="11">
        <f t="shared" si="4"/>
        <v>41.248488506388888</v>
      </c>
      <c r="L43" s="9">
        <v>33080.570399999997</v>
      </c>
      <c r="M43" s="10">
        <v>37.3866758333333</v>
      </c>
      <c r="N43" s="10">
        <v>42.500636499999999</v>
      </c>
      <c r="O43" s="10">
        <v>44.7153316666666</v>
      </c>
      <c r="P43" s="10">
        <v>170991.85200000001</v>
      </c>
      <c r="Q43" s="10">
        <v>162.850999999999</v>
      </c>
      <c r="R43" s="11">
        <f t="shared" si="5"/>
        <v>47.497736666666668</v>
      </c>
      <c r="S43" s="13">
        <f t="shared" si="6"/>
        <v>1.1515024764921957</v>
      </c>
      <c r="T43" s="13">
        <f t="shared" si="7"/>
        <v>1.3606519596622855</v>
      </c>
      <c r="U43" s="48"/>
      <c r="V43" s="30">
        <f>bdrate($D43:$D46,E43:E46,$L43:$L46,M43:M46)</f>
        <v>2.0030687696959149E-5</v>
      </c>
      <c r="W43" s="35">
        <f>bdrate($D43:$D46,F43:F46,$L43:$L46,N43:N46)</f>
        <v>4.7897685648834454E-6</v>
      </c>
      <c r="X43" s="35">
        <f>bdrate($D43:$D46,G43:G46,$L43:$L46,O43:O46)</f>
        <v>-5.4327332175585497E-5</v>
      </c>
      <c r="Y43" s="33">
        <f>bdrateOld($D43:$D46,E43:E46,$L43:$L46,M43:M46)</f>
        <v>2.3004381443314514E-5</v>
      </c>
      <c r="Z43" s="37">
        <f>bdrateOld($D43:$D46,F43:F46,$L43:$L46,N43:N46)</f>
        <v>4.9933549115532827E-6</v>
      </c>
      <c r="AA43" s="38">
        <f>bdrateOld($D43:$D46,G43:G46,$L43:$L46,O43:O46)</f>
        <v>-5.4057296724696613E-5</v>
      </c>
    </row>
    <row r="44" spans="1:27" x14ac:dyDescent="0.2">
      <c r="A44" s="25"/>
      <c r="B44" s="25"/>
      <c r="C44" s="25">
        <v>27</v>
      </c>
      <c r="D44" s="12">
        <f>Reference!B146</f>
        <v>5713.4096</v>
      </c>
      <c r="E44" s="13">
        <f>Reference!C146</f>
        <v>35.4129</v>
      </c>
      <c r="F44" s="13">
        <f>Reference!D146</f>
        <v>41.439</v>
      </c>
      <c r="G44" s="13">
        <f>Reference!E146</f>
        <v>43.781599999999997</v>
      </c>
      <c r="H44" s="13">
        <f>Reference!F146</f>
        <v>60710.090929500002</v>
      </c>
      <c r="I44" s="13">
        <f>Reference!G146</f>
        <v>59.081494092900002</v>
      </c>
      <c r="J44" s="14">
        <f t="shared" si="4"/>
        <v>16.863914147083335</v>
      </c>
      <c r="L44" s="12">
        <v>5713.4111999999996</v>
      </c>
      <c r="M44" s="13">
        <v>35.412846333333299</v>
      </c>
      <c r="N44" s="13">
        <v>41.438948833333299</v>
      </c>
      <c r="O44" s="13">
        <v>43.781643666666596</v>
      </c>
      <c r="P44" s="13">
        <v>69987.922999999995</v>
      </c>
      <c r="Q44" s="13">
        <v>81.165999999999997</v>
      </c>
      <c r="R44" s="14">
        <f t="shared" si="5"/>
        <v>19.44108972222222</v>
      </c>
      <c r="S44" s="13">
        <f t="shared" si="6"/>
        <v>1.1528219103027524</v>
      </c>
      <c r="T44" s="13">
        <f t="shared" si="7"/>
        <v>1.3737973496806668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Reference!B147</f>
        <v>1810.1096</v>
      </c>
      <c r="E45" s="13">
        <f>Reference!C147</f>
        <v>34.103900000000003</v>
      </c>
      <c r="F45" s="13">
        <f>Reference!D147</f>
        <v>40.334200000000003</v>
      </c>
      <c r="G45" s="13">
        <f>Reference!E147</f>
        <v>42.871299999999998</v>
      </c>
      <c r="H45" s="13">
        <f>Reference!F147</f>
        <v>35896.666215700003</v>
      </c>
      <c r="I45" s="13">
        <f>Reference!G147</f>
        <v>45.360362052900001</v>
      </c>
      <c r="J45" s="14">
        <f t="shared" si="4"/>
        <v>9.9712961710277792</v>
      </c>
      <c r="L45" s="12">
        <v>1810.1112000000001</v>
      </c>
      <c r="M45" s="13">
        <v>34.103914499999902</v>
      </c>
      <c r="N45" s="13">
        <v>40.334245166666598</v>
      </c>
      <c r="O45" s="13">
        <v>42.871338833333297</v>
      </c>
      <c r="P45" s="13">
        <v>41127.258999999998</v>
      </c>
      <c r="Q45" s="13">
        <v>57.014000000000003</v>
      </c>
      <c r="R45" s="14">
        <f t="shared" si="5"/>
        <v>11.424238611111111</v>
      </c>
      <c r="S45" s="13">
        <f t="shared" si="6"/>
        <v>1.1457124946609194</v>
      </c>
      <c r="T45" s="13">
        <f t="shared" si="7"/>
        <v>1.2569123662088353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Reference!B148</f>
        <v>806.64559999999994</v>
      </c>
      <c r="E46" s="17">
        <f>Reference!C148</f>
        <v>32.552500000000002</v>
      </c>
      <c r="F46" s="17">
        <f>Reference!D148</f>
        <v>39.232300000000002</v>
      </c>
      <c r="G46" s="17">
        <f>Reference!E148</f>
        <v>41.948399999999999</v>
      </c>
      <c r="H46" s="17">
        <f>Reference!F148</f>
        <v>22788.649610299999</v>
      </c>
      <c r="I46" s="17">
        <f>Reference!G148</f>
        <v>35.9372241497</v>
      </c>
      <c r="J46" s="18">
        <f t="shared" si="4"/>
        <v>6.3301804473055556</v>
      </c>
      <c r="L46" s="16">
        <v>806.6472</v>
      </c>
      <c r="M46" s="17">
        <v>32.552519166666599</v>
      </c>
      <c r="N46" s="17">
        <v>39.232258666666603</v>
      </c>
      <c r="O46" s="17">
        <v>41.948462833333302</v>
      </c>
      <c r="P46" s="17">
        <v>26132.564999999999</v>
      </c>
      <c r="Q46" s="17">
        <v>45.591999999999999</v>
      </c>
      <c r="R46" s="18">
        <f t="shared" si="5"/>
        <v>7.2590458333333325</v>
      </c>
      <c r="S46" s="13">
        <f t="shared" si="6"/>
        <v>1.1467360044093451</v>
      </c>
      <c r="T46" s="13">
        <f t="shared" si="7"/>
        <v>1.2686566945204807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13</v>
      </c>
      <c r="B47" s="24" t="s">
        <v>70</v>
      </c>
      <c r="C47" s="24">
        <v>22</v>
      </c>
      <c r="D47" s="9">
        <f>Reference!B149</f>
        <v>2966.02</v>
      </c>
      <c r="E47" s="10">
        <f>Reference!C149</f>
        <v>41.257899999999999</v>
      </c>
      <c r="F47" s="10">
        <f>Reference!D149</f>
        <v>43.720599999999997</v>
      </c>
      <c r="G47" s="10">
        <f>Reference!E149</f>
        <v>44.5105</v>
      </c>
      <c r="H47" s="10">
        <f>Reference!F149</f>
        <v>27750.276087499999</v>
      </c>
      <c r="I47" s="10">
        <f>Reference!G149</f>
        <v>15.0949940681</v>
      </c>
      <c r="J47" s="11">
        <f t="shared" si="4"/>
        <v>7.7084100243055556</v>
      </c>
      <c r="K47" s="81"/>
      <c r="L47" s="9">
        <v>2966.0216</v>
      </c>
      <c r="M47" s="10">
        <v>41.257901599999897</v>
      </c>
      <c r="N47" s="10">
        <v>43.720614999999903</v>
      </c>
      <c r="O47" s="10">
        <v>44.510521199999999</v>
      </c>
      <c r="P47" s="10">
        <v>31420.633000000002</v>
      </c>
      <c r="Q47" s="10">
        <v>19.550999999999998</v>
      </c>
      <c r="R47" s="11">
        <f t="shared" si="5"/>
        <v>8.7279536111111113</v>
      </c>
      <c r="S47" s="10">
        <f t="shared" si="6"/>
        <v>1.1322637980583299</v>
      </c>
      <c r="T47" s="10">
        <f t="shared" si="7"/>
        <v>1.2951975941028557</v>
      </c>
      <c r="U47" s="80"/>
      <c r="V47" s="83">
        <f>bdrate($D47:$D50,E47:E50,$L47:$L50,M47:M50)</f>
        <v>2.6715641114893884E-6</v>
      </c>
      <c r="W47" s="84">
        <f>bdrate($D47:$D50,F47:F50,$L47:$L50,N47:N50)</f>
        <v>-1.0393008768150303E-5</v>
      </c>
      <c r="X47" s="85">
        <f>bdrate($D47:$D50,G47:G50,$L47:$L50,O47:O50)</f>
        <v>3.9861236227345387E-6</v>
      </c>
      <c r="Y47" s="30">
        <f>bdrateOld($D47:$D50,E47:E50,$L47:$L50,M47:M50)</f>
        <v>2.3594085800660025E-6</v>
      </c>
      <c r="Z47" s="35">
        <f>bdrateOld($D47:$D50,F47:F50,$L47:$L50,N47:N50)</f>
        <v>-1.0103575986963875E-5</v>
      </c>
      <c r="AA47" s="36">
        <f>bdrateOld($D47:$D50,G47:G50,$L47:$L50,O47:O50)</f>
        <v>4.9086968656464336E-6</v>
      </c>
    </row>
    <row r="48" spans="1:27" x14ac:dyDescent="0.2">
      <c r="A48" s="25" t="s">
        <v>97</v>
      </c>
      <c r="B48" s="25"/>
      <c r="C48" s="25">
        <v>27</v>
      </c>
      <c r="D48" s="12">
        <f>Reference!B150</f>
        <v>1367.9215999999999</v>
      </c>
      <c r="E48" s="13">
        <f>Reference!C150</f>
        <v>38.026600000000002</v>
      </c>
      <c r="F48" s="13">
        <f>Reference!D150</f>
        <v>41.527999999999999</v>
      </c>
      <c r="G48" s="13">
        <f>Reference!E150</f>
        <v>41.905299999999997</v>
      </c>
      <c r="H48" s="13">
        <f>Reference!F150</f>
        <v>19841.289702900001</v>
      </c>
      <c r="I48" s="13">
        <f>Reference!G150</f>
        <v>12.8193721771</v>
      </c>
      <c r="J48" s="14">
        <f t="shared" si="4"/>
        <v>5.5114693619166673</v>
      </c>
      <c r="K48" s="81"/>
      <c r="L48" s="12">
        <v>1367.9232</v>
      </c>
      <c r="M48" s="13">
        <v>38.026618799999902</v>
      </c>
      <c r="N48" s="13">
        <v>41.528040999999902</v>
      </c>
      <c r="O48" s="13">
        <v>41.905282199999903</v>
      </c>
      <c r="P48" s="13">
        <v>22848.37</v>
      </c>
      <c r="Q48" s="13">
        <v>14.658999999999899</v>
      </c>
      <c r="R48" s="14">
        <f t="shared" si="5"/>
        <v>6.346769444444444</v>
      </c>
      <c r="S48" s="13">
        <f t="shared" si="6"/>
        <v>1.1515566952616232</v>
      </c>
      <c r="T48" s="13">
        <f t="shared" si="7"/>
        <v>1.1435037377404593</v>
      </c>
      <c r="U48" s="81"/>
      <c r="V48" s="86"/>
      <c r="W48" s="87"/>
      <c r="X48" s="88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Reference!B151</f>
        <v>689.85760000000005</v>
      </c>
      <c r="E49" s="13">
        <f>Reference!C151</f>
        <v>35.110399999999998</v>
      </c>
      <c r="F49" s="13">
        <f>Reference!D151</f>
        <v>39.762999999999998</v>
      </c>
      <c r="G49" s="13">
        <f>Reference!E151</f>
        <v>39.978900000000003</v>
      </c>
      <c r="H49" s="13">
        <f>Reference!F151</f>
        <v>14162.891223000001</v>
      </c>
      <c r="I49" s="13">
        <f>Reference!G151</f>
        <v>8.9932739734599991</v>
      </c>
      <c r="J49" s="14">
        <f t="shared" si="4"/>
        <v>3.9341364508333334</v>
      </c>
      <c r="K49" s="81"/>
      <c r="L49" s="12">
        <v>689.85919999999999</v>
      </c>
      <c r="M49" s="13">
        <v>35.110367399999902</v>
      </c>
      <c r="N49" s="13">
        <v>39.763039599999999</v>
      </c>
      <c r="O49" s="13">
        <v>39.978904399999998</v>
      </c>
      <c r="P49" s="13">
        <v>16221.486000000001</v>
      </c>
      <c r="Q49" s="13">
        <v>11.478999999999999</v>
      </c>
      <c r="R49" s="14">
        <f t="shared" si="5"/>
        <v>4.5059683333333336</v>
      </c>
      <c r="S49" s="13">
        <f t="shared" si="6"/>
        <v>1.1453513088949607</v>
      </c>
      <c r="T49" s="13">
        <f t="shared" si="7"/>
        <v>1.2763983432369137</v>
      </c>
      <c r="U49" s="81"/>
      <c r="V49" s="86"/>
      <c r="W49" s="87"/>
      <c r="X49" s="88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Reference!B152</f>
        <v>352.10719999999998</v>
      </c>
      <c r="E50" s="17">
        <f>Reference!C152</f>
        <v>32.472999999999999</v>
      </c>
      <c r="F50" s="17">
        <f>Reference!D152</f>
        <v>38.195900000000002</v>
      </c>
      <c r="G50" s="17">
        <f>Reference!E152</f>
        <v>38.241700000000002</v>
      </c>
      <c r="H50" s="17">
        <f>Reference!F152</f>
        <v>9725.3401074400008</v>
      </c>
      <c r="I50" s="17">
        <f>Reference!G152</f>
        <v>7.0210008621200002</v>
      </c>
      <c r="J50" s="18">
        <f t="shared" si="4"/>
        <v>2.7014833631777782</v>
      </c>
      <c r="K50" s="81"/>
      <c r="L50" s="16">
        <v>352.10879999999997</v>
      </c>
      <c r="M50" s="17">
        <v>32.473001400000001</v>
      </c>
      <c r="N50" s="17">
        <v>38.195895799999903</v>
      </c>
      <c r="O50" s="17">
        <v>38.241673599999999</v>
      </c>
      <c r="P50" s="17">
        <v>11085.012000000001</v>
      </c>
      <c r="Q50" s="17">
        <v>8.9949999999999992</v>
      </c>
      <c r="R50" s="18">
        <f t="shared" si="5"/>
        <v>3.07917</v>
      </c>
      <c r="S50" s="13">
        <f t="shared" si="6"/>
        <v>1.1398071303974073</v>
      </c>
      <c r="T50" s="13">
        <f t="shared" si="7"/>
        <v>1.2811563730935005</v>
      </c>
      <c r="U50" s="81"/>
      <c r="V50" s="89"/>
      <c r="W50" s="90"/>
      <c r="X50" s="91"/>
      <c r="Y50" s="32"/>
      <c r="Z50" s="44"/>
      <c r="AA50" s="45"/>
    </row>
    <row r="51" spans="1:27" x14ac:dyDescent="0.2">
      <c r="A51" s="25"/>
      <c r="B51" s="24" t="s">
        <v>71</v>
      </c>
      <c r="C51" s="24">
        <v>22</v>
      </c>
      <c r="D51" s="9">
        <f>Reference!B153</f>
        <v>3019.3431999999998</v>
      </c>
      <c r="E51" s="10">
        <f>Reference!C153</f>
        <v>40.465000000000003</v>
      </c>
      <c r="F51" s="10">
        <f>Reference!D153</f>
        <v>44.081400000000002</v>
      </c>
      <c r="G51" s="10">
        <f>Reference!E153</f>
        <v>45.808900000000001</v>
      </c>
      <c r="H51" s="10">
        <f>Reference!F153</f>
        <v>25538.3342152</v>
      </c>
      <c r="I51" s="10">
        <f>Reference!G153</f>
        <v>19.1069328785</v>
      </c>
      <c r="J51" s="11">
        <f t="shared" si="4"/>
        <v>7.0939817264444445</v>
      </c>
      <c r="K51" s="81"/>
      <c r="L51" s="9">
        <v>3019.3447999999999</v>
      </c>
      <c r="M51" s="10">
        <v>40.464986999999901</v>
      </c>
      <c r="N51" s="10">
        <v>44.081372999999999</v>
      </c>
      <c r="O51" s="10">
        <v>45.808927666666598</v>
      </c>
      <c r="P51" s="10">
        <v>28041.602999999999</v>
      </c>
      <c r="Q51" s="10">
        <v>22.225000000000001</v>
      </c>
      <c r="R51" s="11">
        <f t="shared" si="5"/>
        <v>7.7893341666666664</v>
      </c>
      <c r="S51" s="13">
        <f t="shared" si="6"/>
        <v>1.0980200495344012</v>
      </c>
      <c r="T51" s="13">
        <f t="shared" si="7"/>
        <v>1.1631903530162391</v>
      </c>
      <c r="U51" s="81"/>
      <c r="V51" s="83">
        <f>bdrate($D51:$D54,E51:E54,$L51:$L54,M51:M54)</f>
        <v>-2.9561739414152299E-6</v>
      </c>
      <c r="W51" s="84">
        <f>bdrate($D51:$D54,F51:F54,$L51:$L54,N51:N54)</f>
        <v>1.6103415323875936E-5</v>
      </c>
      <c r="X51" s="84">
        <f>bdrate($D51:$D54,G51:G54,$L51:$L54,O51:O54)</f>
        <v>7.9380622008962121E-7</v>
      </c>
      <c r="Y51" s="33">
        <f>bdrateOld($D51:$D54,E51:E54,$L51:$L54,M51:M54)</f>
        <v>-2.7499150062615385E-6</v>
      </c>
      <c r="Z51" s="37">
        <f>bdrateOld($D51:$D54,F51:F54,$L51:$L54,N51:N54)</f>
        <v>1.6591469053528485E-5</v>
      </c>
      <c r="AA51" s="38">
        <f>bdrateOld($D51:$D54,G51:G54,$L51:$L54,O51:O54)</f>
        <v>-1.6145972592251923E-7</v>
      </c>
    </row>
    <row r="52" spans="1:27" x14ac:dyDescent="0.2">
      <c r="A52" s="25"/>
      <c r="B52" s="25"/>
      <c r="C52" s="25">
        <v>27</v>
      </c>
      <c r="D52" s="12">
        <f>Reference!B154</f>
        <v>1356.5527999999999</v>
      </c>
      <c r="E52" s="13">
        <f>Reference!C154</f>
        <v>37.904000000000003</v>
      </c>
      <c r="F52" s="13">
        <f>Reference!D154</f>
        <v>42.2879</v>
      </c>
      <c r="G52" s="13">
        <f>Reference!E154</f>
        <v>43.638399999999997</v>
      </c>
      <c r="H52" s="13">
        <f>Reference!F154</f>
        <v>16753.3553932</v>
      </c>
      <c r="I52" s="13">
        <f>Reference!G154</f>
        <v>12.1136159897</v>
      </c>
      <c r="J52" s="14">
        <f t="shared" si="4"/>
        <v>4.6537098314444441</v>
      </c>
      <c r="K52" s="81"/>
      <c r="L52" s="12">
        <v>1356.5544</v>
      </c>
      <c r="M52" s="13">
        <v>37.904040499999901</v>
      </c>
      <c r="N52" s="13">
        <v>42.287846166666597</v>
      </c>
      <c r="O52" s="13">
        <v>43.638410666666601</v>
      </c>
      <c r="P52" s="13">
        <v>19191.810000000001</v>
      </c>
      <c r="Q52" s="13">
        <v>16.1479999999999</v>
      </c>
      <c r="R52" s="14">
        <f t="shared" si="5"/>
        <v>5.3310583333333339</v>
      </c>
      <c r="S52" s="13">
        <f t="shared" si="6"/>
        <v>1.1455502226013627</v>
      </c>
      <c r="T52" s="13">
        <f t="shared" si="7"/>
        <v>1.3330453940202718</v>
      </c>
      <c r="U52" s="81"/>
      <c r="V52" s="86"/>
      <c r="W52" s="87"/>
      <c r="X52" s="87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Reference!B155</f>
        <v>682.08799999999997</v>
      </c>
      <c r="E53" s="13">
        <f>Reference!C155</f>
        <v>35.213999999999999</v>
      </c>
      <c r="F53" s="13">
        <f>Reference!D155</f>
        <v>40.781799999999997</v>
      </c>
      <c r="G53" s="13">
        <f>Reference!E155</f>
        <v>41.886699999999998</v>
      </c>
      <c r="H53" s="13">
        <f>Reference!F155</f>
        <v>12206.326729799999</v>
      </c>
      <c r="I53" s="13">
        <f>Reference!G155</f>
        <v>9.5216779708899999</v>
      </c>
      <c r="J53" s="14">
        <f t="shared" si="4"/>
        <v>3.3906463138333329</v>
      </c>
      <c r="K53" s="81"/>
      <c r="L53" s="12">
        <v>682.08960000000002</v>
      </c>
      <c r="M53" s="13">
        <v>35.214016999999998</v>
      </c>
      <c r="N53" s="13">
        <v>40.781786666666598</v>
      </c>
      <c r="O53" s="13">
        <v>41.886669333333302</v>
      </c>
      <c r="P53" s="13">
        <v>14070.062</v>
      </c>
      <c r="Q53" s="13">
        <v>12.074999999999999</v>
      </c>
      <c r="R53" s="14">
        <f t="shared" si="5"/>
        <v>3.9083505555555553</v>
      </c>
      <c r="S53" s="13">
        <f t="shared" si="6"/>
        <v>1.1526860054999148</v>
      </c>
      <c r="T53" s="13">
        <f t="shared" si="7"/>
        <v>1.2681588305040459</v>
      </c>
      <c r="U53" s="81"/>
      <c r="V53" s="86"/>
      <c r="W53" s="87"/>
      <c r="X53" s="87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Reference!B156</f>
        <v>347.2072</v>
      </c>
      <c r="E54" s="17">
        <f>Reference!C156</f>
        <v>32.437800000000003</v>
      </c>
      <c r="F54" s="17">
        <f>Reference!D156</f>
        <v>39.363199999999999</v>
      </c>
      <c r="G54" s="17">
        <f>Reference!E156</f>
        <v>40.288699999999999</v>
      </c>
      <c r="H54" s="17">
        <f>Reference!F156</f>
        <v>8829.9984738799994</v>
      </c>
      <c r="I54" s="17">
        <f>Reference!G156</f>
        <v>8.18652915955</v>
      </c>
      <c r="J54" s="18">
        <f t="shared" si="4"/>
        <v>2.4527773538555553</v>
      </c>
      <c r="K54" s="81"/>
      <c r="L54" s="16">
        <v>347.2088</v>
      </c>
      <c r="M54" s="17">
        <v>32.437791166666599</v>
      </c>
      <c r="N54" s="17">
        <v>39.363191</v>
      </c>
      <c r="O54" s="17">
        <v>40.2887389999999</v>
      </c>
      <c r="P54" s="17">
        <v>10172.519</v>
      </c>
      <c r="Q54" s="17">
        <v>9.9019999999999992</v>
      </c>
      <c r="R54" s="18">
        <f t="shared" si="5"/>
        <v>2.8256997222222222</v>
      </c>
      <c r="S54" s="13">
        <f t="shared" si="6"/>
        <v>1.1520408559629209</v>
      </c>
      <c r="T54" s="13">
        <f t="shared" si="7"/>
        <v>1.2095480034354749</v>
      </c>
      <c r="U54" s="81"/>
      <c r="V54" s="89"/>
      <c r="W54" s="90"/>
      <c r="X54" s="90"/>
      <c r="Y54" s="32"/>
      <c r="Z54" s="44"/>
      <c r="AA54" s="45"/>
    </row>
    <row r="55" spans="1:27" x14ac:dyDescent="0.2">
      <c r="A55" s="25"/>
      <c r="B55" s="24" t="s">
        <v>98</v>
      </c>
      <c r="C55" s="24">
        <v>22</v>
      </c>
      <c r="D55" s="9">
        <f>Reference!B157</f>
        <v>5759.0816000000004</v>
      </c>
      <c r="E55" s="10">
        <f>Reference!C157</f>
        <v>38.7211</v>
      </c>
      <c r="F55" s="10">
        <f>Reference!D157</f>
        <v>42.2089</v>
      </c>
      <c r="G55" s="10">
        <f>Reference!E157</f>
        <v>43.447099999999999</v>
      </c>
      <c r="H55" s="10">
        <f>Reference!F157</f>
        <v>26358.5483313</v>
      </c>
      <c r="I55" s="10">
        <f>Reference!G157</f>
        <v>19.767950058</v>
      </c>
      <c r="J55" s="11">
        <f t="shared" si="4"/>
        <v>7.3218189809166665</v>
      </c>
      <c r="K55" s="81"/>
      <c r="L55" s="9">
        <v>5759.0832</v>
      </c>
      <c r="M55" s="10">
        <v>38.7210854</v>
      </c>
      <c r="N55" s="10">
        <v>42.208846799999897</v>
      </c>
      <c r="O55" s="10">
        <v>43.447079199999997</v>
      </c>
      <c r="P55" s="10">
        <v>29674.431</v>
      </c>
      <c r="Q55" s="10">
        <v>25.875</v>
      </c>
      <c r="R55" s="11">
        <f t="shared" si="5"/>
        <v>8.2428974999999998</v>
      </c>
      <c r="S55" s="13">
        <f t="shared" si="6"/>
        <v>1.1257991383676653</v>
      </c>
      <c r="T55" s="13">
        <f t="shared" si="7"/>
        <v>1.3089369370158088</v>
      </c>
      <c r="U55" s="81"/>
      <c r="V55" s="83">
        <f>bdrate($D55:$D58,E55:E58,$L55:$L58,M55:M58)</f>
        <v>7.2364003202984861E-6</v>
      </c>
      <c r="W55" s="84">
        <f>bdrate($D55:$D58,F55:F58,$L55:$L58,N55:N58)</f>
        <v>4.040727121346066E-6</v>
      </c>
      <c r="X55" s="84">
        <f>bdrate($D55:$D58,G55:G58,$L55:$L58,O55:O58)</f>
        <v>8.3161737964854154E-6</v>
      </c>
      <c r="Y55" s="33">
        <f>bdrateOld($D55:$D58,E55:E58,$L55:$L58,M55:M58)</f>
        <v>6.9711609309575095E-6</v>
      </c>
      <c r="Z55" s="37">
        <f>bdrateOld($D55:$D58,F55:F58,$L55:$L58,N55:N58)</f>
        <v>5.8959845985473436E-6</v>
      </c>
      <c r="AA55" s="38">
        <f>bdrateOld($D55:$D58,G55:G58,$L55:$L58,O55:O58)</f>
        <v>7.2730835876111399E-6</v>
      </c>
    </row>
    <row r="56" spans="1:27" x14ac:dyDescent="0.2">
      <c r="A56" s="25"/>
      <c r="B56" s="25"/>
      <c r="C56" s="25">
        <v>27</v>
      </c>
      <c r="D56" s="12">
        <f>Reference!B158</f>
        <v>2542.1943999999999</v>
      </c>
      <c r="E56" s="13">
        <f>Reference!C158</f>
        <v>35.24</v>
      </c>
      <c r="F56" s="13">
        <f>Reference!D158</f>
        <v>39.775700000000001</v>
      </c>
      <c r="G56" s="13">
        <f>Reference!E158</f>
        <v>40.854599999999998</v>
      </c>
      <c r="H56" s="13">
        <f>Reference!F158</f>
        <v>18043.400002499999</v>
      </c>
      <c r="I56" s="13">
        <f>Reference!G158</f>
        <v>14.907578945199999</v>
      </c>
      <c r="J56" s="14">
        <f t="shared" si="4"/>
        <v>5.01205555625</v>
      </c>
      <c r="K56" s="81"/>
      <c r="L56" s="12">
        <v>2542.1959999999999</v>
      </c>
      <c r="M56" s="13">
        <v>35.239966000000003</v>
      </c>
      <c r="N56" s="13">
        <v>39.775683599999901</v>
      </c>
      <c r="O56" s="13">
        <v>40.854601799999998</v>
      </c>
      <c r="P56" s="13">
        <v>20179.702999999899</v>
      </c>
      <c r="Q56" s="13">
        <v>19.252999999999901</v>
      </c>
      <c r="R56" s="14">
        <f t="shared" si="5"/>
        <v>5.6054730555555272</v>
      </c>
      <c r="S56" s="13">
        <f t="shared" si="6"/>
        <v>1.1183980290413063</v>
      </c>
      <c r="T56" s="13">
        <f t="shared" si="7"/>
        <v>1.2914907290294146</v>
      </c>
      <c r="U56" s="81"/>
      <c r="V56" s="86"/>
      <c r="W56" s="87"/>
      <c r="X56" s="87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Reference!B159</f>
        <v>1224.6343999999999</v>
      </c>
      <c r="E57" s="13">
        <f>Reference!C159</f>
        <v>32.180100000000003</v>
      </c>
      <c r="F57" s="13">
        <f>Reference!D159</f>
        <v>38.024999999999999</v>
      </c>
      <c r="G57" s="13">
        <f>Reference!E159</f>
        <v>38.927399999999999</v>
      </c>
      <c r="H57" s="13">
        <f>Reference!F159</f>
        <v>12858.1253106</v>
      </c>
      <c r="I57" s="13">
        <f>Reference!G159</f>
        <v>11.083468913999999</v>
      </c>
      <c r="J57" s="14">
        <f t="shared" si="4"/>
        <v>3.5717014751666669</v>
      </c>
      <c r="K57" s="81"/>
      <c r="L57" s="12">
        <v>1224.636</v>
      </c>
      <c r="M57" s="13">
        <v>32.180059999999997</v>
      </c>
      <c r="N57" s="13">
        <v>38.025028799999902</v>
      </c>
      <c r="O57" s="13">
        <v>38.927357399999998</v>
      </c>
      <c r="P57" s="13">
        <v>14697.878999999901</v>
      </c>
      <c r="Q57" s="13">
        <v>15.188000000000001</v>
      </c>
      <c r="R57" s="14">
        <f t="shared" si="5"/>
        <v>4.0827441666666395</v>
      </c>
      <c r="S57" s="13">
        <f t="shared" si="6"/>
        <v>1.1430810203633062</v>
      </c>
      <c r="T57" s="13">
        <f t="shared" si="7"/>
        <v>1.3703291016421217</v>
      </c>
      <c r="U57" s="81"/>
      <c r="V57" s="86"/>
      <c r="W57" s="87"/>
      <c r="X57" s="87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Reference!B160</f>
        <v>570.06320000000005</v>
      </c>
      <c r="E58" s="17">
        <f>Reference!C160</f>
        <v>29.321100000000001</v>
      </c>
      <c r="F58" s="17">
        <f>Reference!D160</f>
        <v>36.505899999999997</v>
      </c>
      <c r="G58" s="17">
        <f>Reference!E160</f>
        <v>37.242699999999999</v>
      </c>
      <c r="H58" s="17">
        <f>Reference!F160</f>
        <v>9109.9050891499992</v>
      </c>
      <c r="I58" s="17">
        <f>Reference!G160</f>
        <v>8.2647309303299998</v>
      </c>
      <c r="J58" s="18">
        <f t="shared" si="4"/>
        <v>2.5305291914305554</v>
      </c>
      <c r="K58" s="81"/>
      <c r="L58" s="16">
        <v>570.06479999999999</v>
      </c>
      <c r="M58" s="17">
        <v>29.321130799999999</v>
      </c>
      <c r="N58" s="17">
        <v>36.505871800000001</v>
      </c>
      <c r="O58" s="17">
        <v>37.242672200000001</v>
      </c>
      <c r="P58" s="17">
        <v>10422.6049999999</v>
      </c>
      <c r="Q58" s="17">
        <v>11.516999999999999</v>
      </c>
      <c r="R58" s="18">
        <f t="shared" si="5"/>
        <v>2.8951680555555277</v>
      </c>
      <c r="S58" s="13">
        <f t="shared" si="6"/>
        <v>1.1440958932067624</v>
      </c>
      <c r="T58" s="13">
        <f t="shared" si="7"/>
        <v>1.3935117908962755</v>
      </c>
      <c r="U58" s="81"/>
      <c r="V58" s="89"/>
      <c r="W58" s="90"/>
      <c r="X58" s="90"/>
      <c r="Y58" s="32"/>
      <c r="Z58" s="44"/>
      <c r="AA58" s="45"/>
    </row>
    <row r="59" spans="1:27" x14ac:dyDescent="0.2">
      <c r="A59" s="25"/>
      <c r="B59" s="24" t="s">
        <v>77</v>
      </c>
      <c r="C59" s="24">
        <v>22</v>
      </c>
      <c r="D59" s="9">
        <f>Reference!B161</f>
        <v>4316.5248000000001</v>
      </c>
      <c r="E59" s="10">
        <f>Reference!C161</f>
        <v>39.346299999999999</v>
      </c>
      <c r="F59" s="10">
        <f>Reference!D161</f>
        <v>41.611400000000003</v>
      </c>
      <c r="G59" s="10">
        <f>Reference!E161</f>
        <v>43.158200000000001</v>
      </c>
      <c r="H59" s="10">
        <f>Reference!F161</f>
        <v>26054.1618261</v>
      </c>
      <c r="I59" s="10">
        <f>Reference!G161</f>
        <v>13.7953660488</v>
      </c>
      <c r="J59" s="11">
        <f t="shared" si="4"/>
        <v>7.237267173916667</v>
      </c>
      <c r="K59" s="81"/>
      <c r="L59" s="9">
        <v>4316.5263999999997</v>
      </c>
      <c r="M59" s="10">
        <v>39.346287999999902</v>
      </c>
      <c r="N59" s="10">
        <v>41.611427999999997</v>
      </c>
      <c r="O59" s="10">
        <v>43.158164999999997</v>
      </c>
      <c r="P59" s="10">
        <v>28264.185000000001</v>
      </c>
      <c r="Q59" s="10">
        <v>17.4649999999999</v>
      </c>
      <c r="R59" s="11">
        <f t="shared" si="5"/>
        <v>7.8511625</v>
      </c>
      <c r="S59" s="13">
        <f t="shared" si="6"/>
        <v>1.0848241900334743</v>
      </c>
      <c r="T59" s="13">
        <f t="shared" si="7"/>
        <v>1.2660048264191661</v>
      </c>
      <c r="U59" s="81"/>
      <c r="V59" s="83">
        <f>bdrate($D59:$D62,E59:E62,$L59:$L62,M59:M62)</f>
        <v>9.3130428990839675E-6</v>
      </c>
      <c r="W59" s="84">
        <f>bdrate($D59:$D62,F59:F62,$L59:$L62,N59:N62)</f>
        <v>1.3708677522039636E-5</v>
      </c>
      <c r="X59" s="84">
        <f>bdrate($D59:$D62,G59:G62,$L59:$L62,O59:O62)</f>
        <v>-3.7657626500431363E-6</v>
      </c>
      <c r="Y59" s="33">
        <f>bdrateOld($D59:$D62,E59:E62,$L59:$L62,M59:M62)</f>
        <v>9.1565534896531631E-6</v>
      </c>
      <c r="Z59" s="37">
        <f>bdrateOld($D59:$D62,F59:F62,$L59:$L62,N59:N62)</f>
        <v>1.4380241394107429E-5</v>
      </c>
      <c r="AA59" s="38">
        <f>bdrateOld($D59:$D62,G59:G62,$L59:$L62,O59:O62)</f>
        <v>-5.6744558613042173E-6</v>
      </c>
    </row>
    <row r="60" spans="1:27" x14ac:dyDescent="0.2">
      <c r="A60" s="25"/>
      <c r="B60" s="25"/>
      <c r="C60" s="25">
        <v>27</v>
      </c>
      <c r="D60" s="12">
        <f>Reference!B162</f>
        <v>1674.0488</v>
      </c>
      <c r="E60" s="13">
        <f>Reference!C162</f>
        <v>35.924100000000003</v>
      </c>
      <c r="F60" s="13">
        <f>Reference!D162</f>
        <v>39.476500000000001</v>
      </c>
      <c r="G60" s="13">
        <f>Reference!E162</f>
        <v>41.093800000000002</v>
      </c>
      <c r="H60" s="13">
        <f>Reference!F162</f>
        <v>17112.0956314</v>
      </c>
      <c r="I60" s="13">
        <f>Reference!G162</f>
        <v>9.4769048690800002</v>
      </c>
      <c r="J60" s="14">
        <f t="shared" si="4"/>
        <v>4.7533598976111113</v>
      </c>
      <c r="K60" s="81"/>
      <c r="L60" s="12">
        <v>1674.0503999999901</v>
      </c>
      <c r="M60" s="13">
        <v>35.924073333333297</v>
      </c>
      <c r="N60" s="13">
        <v>39.476453333333303</v>
      </c>
      <c r="O60" s="13">
        <v>41.093843</v>
      </c>
      <c r="P60" s="13">
        <v>18779.264999999999</v>
      </c>
      <c r="Q60" s="13">
        <v>12.327999999999999</v>
      </c>
      <c r="R60" s="14">
        <f t="shared" si="5"/>
        <v>5.2164624999999996</v>
      </c>
      <c r="S60" s="13">
        <f t="shared" si="6"/>
        <v>1.0974263704756775</v>
      </c>
      <c r="T60" s="13">
        <f t="shared" si="7"/>
        <v>1.3008466551376048</v>
      </c>
      <c r="U60" s="81"/>
      <c r="V60" s="86"/>
      <c r="W60" s="87"/>
      <c r="X60" s="87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Reference!B163</f>
        <v>795.85119999999995</v>
      </c>
      <c r="E61" s="13">
        <f>Reference!C163</f>
        <v>33.207900000000002</v>
      </c>
      <c r="F61" s="13">
        <f>Reference!D163</f>
        <v>37.878100000000003</v>
      </c>
      <c r="G61" s="13">
        <f>Reference!E163</f>
        <v>39.634999999999998</v>
      </c>
      <c r="H61" s="13">
        <f>Reference!F163</f>
        <v>11766.2714798</v>
      </c>
      <c r="I61" s="13">
        <f>Reference!G163</f>
        <v>7.0185310840600001</v>
      </c>
      <c r="J61" s="14">
        <f t="shared" si="4"/>
        <v>3.2684087443888887</v>
      </c>
      <c r="K61" s="81"/>
      <c r="L61" s="12">
        <v>795.8528</v>
      </c>
      <c r="M61" s="13">
        <v>33.207859333333303</v>
      </c>
      <c r="N61" s="13">
        <v>37.878073333333298</v>
      </c>
      <c r="O61" s="13">
        <v>39.634993333333298</v>
      </c>
      <c r="P61" s="13">
        <v>13462.199999999901</v>
      </c>
      <c r="Q61" s="13">
        <v>9.75199999999999</v>
      </c>
      <c r="R61" s="14">
        <f t="shared" si="5"/>
        <v>3.7394999999999725</v>
      </c>
      <c r="S61" s="13">
        <f t="shared" si="6"/>
        <v>1.1441347433731597</v>
      </c>
      <c r="T61" s="13">
        <f t="shared" si="7"/>
        <v>1.3894645308543343</v>
      </c>
      <c r="U61" s="81"/>
      <c r="V61" s="86"/>
      <c r="W61" s="87"/>
      <c r="X61" s="87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Reference!B164</f>
        <v>382.17759999999998</v>
      </c>
      <c r="E62" s="17">
        <f>Reference!C164</f>
        <v>30.571300000000001</v>
      </c>
      <c r="F62" s="17">
        <f>Reference!D164</f>
        <v>36.4146</v>
      </c>
      <c r="G62" s="17">
        <f>Reference!E164</f>
        <v>38.288200000000003</v>
      </c>
      <c r="H62" s="17">
        <f>Reference!F164</f>
        <v>8185.6794819899997</v>
      </c>
      <c r="I62" s="17">
        <f>Reference!G164</f>
        <v>5.6384930610700001</v>
      </c>
      <c r="J62" s="18">
        <f t="shared" si="4"/>
        <v>2.273799856108333</v>
      </c>
      <c r="K62" s="81"/>
      <c r="L62" s="16">
        <v>382.17919999999998</v>
      </c>
      <c r="M62" s="17">
        <v>30.5712816666666</v>
      </c>
      <c r="N62" s="17">
        <v>36.414581333333302</v>
      </c>
      <c r="O62" s="17">
        <v>38.288192000000002</v>
      </c>
      <c r="P62" s="17">
        <v>9322.4179999999997</v>
      </c>
      <c r="Q62" s="17">
        <v>7.4109999999999898</v>
      </c>
      <c r="R62" s="18">
        <f t="shared" si="5"/>
        <v>2.5895605555555554</v>
      </c>
      <c r="S62" s="17">
        <f t="shared" si="6"/>
        <v>1.1388691703005271</v>
      </c>
      <c r="T62" s="17">
        <f t="shared" si="7"/>
        <v>1.3143582726327991</v>
      </c>
      <c r="U62" s="82"/>
      <c r="V62" s="89"/>
      <c r="W62" s="90"/>
      <c r="X62" s="90"/>
      <c r="Y62" s="32"/>
      <c r="Z62" s="44"/>
      <c r="AA62" s="45"/>
    </row>
    <row r="63" spans="1:27" x14ac:dyDescent="0.2">
      <c r="A63" s="24" t="s">
        <v>17</v>
      </c>
      <c r="B63" s="24" t="s">
        <v>74</v>
      </c>
      <c r="C63" s="24">
        <f>C59</f>
        <v>22</v>
      </c>
      <c r="D63" s="103">
        <v>917.70799999999997</v>
      </c>
      <c r="E63" s="10">
        <v>42.405799999999999</v>
      </c>
      <c r="F63" s="10">
        <v>45.264000000000003</v>
      </c>
      <c r="G63" s="10">
        <v>44.837899999999998</v>
      </c>
      <c r="H63" s="10">
        <v>187.15700000000001</v>
      </c>
      <c r="I63" s="10">
        <v>0.157</v>
      </c>
      <c r="J63" s="11">
        <f t="shared" si="4"/>
        <v>5.1988055555555558E-2</v>
      </c>
      <c r="K63" s="81"/>
      <c r="L63" s="103">
        <v>839.41600000000005</v>
      </c>
      <c r="M63" s="10">
        <v>41.838099999999997</v>
      </c>
      <c r="N63" s="10">
        <v>44.841700000000003</v>
      </c>
      <c r="O63" s="10">
        <v>44.325000000000003</v>
      </c>
      <c r="P63" s="10">
        <v>180.28800000000001</v>
      </c>
      <c r="Q63" s="10">
        <v>0.15</v>
      </c>
      <c r="R63" s="11">
        <f t="shared" si="5"/>
        <v>5.0080000000000006E-2</v>
      </c>
      <c r="S63" s="10">
        <f t="shared" si="6"/>
        <v>0.96329819349530077</v>
      </c>
      <c r="T63" s="10">
        <f t="shared" si="7"/>
        <v>0.95541401273885351</v>
      </c>
      <c r="U63" s="80"/>
      <c r="V63" s="83">
        <f>bdrate($D63:$D66,E63:E66,$L63:$L66,M63:M66)</f>
        <v>8.3503942590188451E-3</v>
      </c>
      <c r="W63" s="84">
        <f>bdrate($D63:$D66,F63:F66,$L63:$L66,N63:N66)</f>
        <v>-6.1109510363561714E-3</v>
      </c>
      <c r="X63" s="85">
        <f>bdrate($D63:$D66,G63:G66,$L63:$L66,O63:O66)</f>
        <v>1.3528434073476037E-2</v>
      </c>
      <c r="Y63" s="30">
        <f>bdrateOld($D63:$D66,E63:E66,$L63:$L66,M63:M66)</f>
        <v>8.3828636272871293E-3</v>
      </c>
      <c r="Z63" s="35">
        <f>bdrateOld($D63:$D66,F63:F66,$L63:$L66,N63:N66)</f>
        <v>-6.3816113874557434E-3</v>
      </c>
      <c r="AA63" s="36">
        <f>bdrateOld($D63:$D66,G63:G66,$L63:$L66,O63:O66)</f>
        <v>1.4410686661973982E-2</v>
      </c>
    </row>
    <row r="64" spans="1:27" x14ac:dyDescent="0.2">
      <c r="A64" s="25" t="s">
        <v>99</v>
      </c>
      <c r="B64" s="25"/>
      <c r="C64" s="25">
        <f>C60</f>
        <v>27</v>
      </c>
      <c r="D64" s="104">
        <v>455.93200000000002</v>
      </c>
      <c r="E64" s="13">
        <v>38.667900000000003</v>
      </c>
      <c r="F64" s="13">
        <v>42.871899999999997</v>
      </c>
      <c r="G64" s="13">
        <v>42.170200000000001</v>
      </c>
      <c r="H64" s="13">
        <v>144.23099999999999</v>
      </c>
      <c r="I64" s="13">
        <v>0.11700000000000001</v>
      </c>
      <c r="J64" s="14">
        <f t="shared" si="4"/>
        <v>4.0064166666666665E-2</v>
      </c>
      <c r="K64" s="81"/>
      <c r="L64" s="104">
        <v>423.46</v>
      </c>
      <c r="M64" s="13">
        <v>38.235700000000001</v>
      </c>
      <c r="N64" s="13">
        <v>42.671599999999998</v>
      </c>
      <c r="O64" s="13">
        <v>41.879199999999997</v>
      </c>
      <c r="P64" s="13">
        <v>141.542</v>
      </c>
      <c r="Q64" s="13">
        <v>0.11600000000000001</v>
      </c>
      <c r="R64" s="14">
        <f t="shared" si="5"/>
        <v>3.9317222222222226E-2</v>
      </c>
      <c r="S64" s="13">
        <f t="shared" si="6"/>
        <v>0.98135629649659228</v>
      </c>
      <c r="T64" s="13">
        <f t="shared" si="7"/>
        <v>0.99145299145299148</v>
      </c>
      <c r="U64" s="81"/>
      <c r="V64" s="86"/>
      <c r="W64" s="87"/>
      <c r="X64" s="88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04">
        <v>230.84399999999999</v>
      </c>
      <c r="E65" s="13">
        <v>35.320500000000003</v>
      </c>
      <c r="F65" s="13">
        <v>40.982300000000002</v>
      </c>
      <c r="G65" s="13">
        <v>40.127000000000002</v>
      </c>
      <c r="H65" s="13">
        <v>107.366</v>
      </c>
      <c r="I65" s="13">
        <v>9.7000000000000003E-2</v>
      </c>
      <c r="J65" s="14">
        <f t="shared" si="4"/>
        <v>2.9823888888888889E-2</v>
      </c>
      <c r="K65" s="81"/>
      <c r="L65" s="104">
        <v>216.84</v>
      </c>
      <c r="M65" s="13">
        <v>35.013500000000001</v>
      </c>
      <c r="N65" s="13">
        <v>40.859099999999998</v>
      </c>
      <c r="O65" s="13">
        <v>39.9589</v>
      </c>
      <c r="P65" s="13">
        <v>106.809</v>
      </c>
      <c r="Q65" s="13">
        <v>9.1999999999999998E-2</v>
      </c>
      <c r="R65" s="14">
        <f t="shared" si="5"/>
        <v>2.9669166666666667E-2</v>
      </c>
      <c r="S65" s="13">
        <f t="shared" si="6"/>
        <v>0.99481213792075707</v>
      </c>
      <c r="T65" s="13">
        <f t="shared" si="7"/>
        <v>0.94845360824742264</v>
      </c>
      <c r="U65" s="81"/>
      <c r="V65" s="86"/>
      <c r="W65" s="87"/>
      <c r="X65" s="88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05">
        <v>116.676</v>
      </c>
      <c r="E66" s="17">
        <v>32.386099999999999</v>
      </c>
      <c r="F66" s="17">
        <v>39.231200000000001</v>
      </c>
      <c r="G66" s="17">
        <v>38.354900000000001</v>
      </c>
      <c r="H66" s="17">
        <v>77.882000000000005</v>
      </c>
      <c r="I66" s="17">
        <v>8.8999999999999996E-2</v>
      </c>
      <c r="J66" s="18">
        <f t="shared" si="4"/>
        <v>2.163388888888889E-2</v>
      </c>
      <c r="K66" s="81"/>
      <c r="L66" s="105">
        <v>111.48</v>
      </c>
      <c r="M66" s="17">
        <v>32.19</v>
      </c>
      <c r="N66" s="17">
        <v>39.147500000000001</v>
      </c>
      <c r="O66" s="17">
        <v>38.169899999999998</v>
      </c>
      <c r="P66" s="17">
        <v>76.051000000000002</v>
      </c>
      <c r="Q66" s="17">
        <v>0.08</v>
      </c>
      <c r="R66" s="18">
        <f t="shared" si="5"/>
        <v>2.1125277777777778E-2</v>
      </c>
      <c r="S66" s="13">
        <f t="shared" si="6"/>
        <v>0.9764900747284353</v>
      </c>
      <c r="T66" s="13">
        <f t="shared" si="7"/>
        <v>0.89887640449438211</v>
      </c>
      <c r="U66" s="81"/>
      <c r="V66" s="89"/>
      <c r="W66" s="90"/>
      <c r="X66" s="91"/>
      <c r="Y66" s="32"/>
      <c r="Z66" s="44"/>
      <c r="AA66" s="45"/>
    </row>
    <row r="67" spans="1:27" x14ac:dyDescent="0.2">
      <c r="A67" s="25"/>
      <c r="B67" s="24" t="s">
        <v>75</v>
      </c>
      <c r="C67" s="24">
        <v>22</v>
      </c>
      <c r="D67" s="103">
        <v>1268.4096</v>
      </c>
      <c r="E67" s="10">
        <v>39.347499999999997</v>
      </c>
      <c r="F67" s="10">
        <v>44.282299999999999</v>
      </c>
      <c r="G67" s="10">
        <v>45.408000000000001</v>
      </c>
      <c r="H67" s="10">
        <v>160.976</v>
      </c>
      <c r="I67" s="10">
        <v>0.214</v>
      </c>
      <c r="J67" s="11">
        <f t="shared" ref="J67:J78" si="8">H67/3600</f>
        <v>4.4715555555555557E-2</v>
      </c>
      <c r="K67" s="81"/>
      <c r="L67" s="103">
        <v>1159.7231999999999</v>
      </c>
      <c r="M67" s="10">
        <v>38.828899999999997</v>
      </c>
      <c r="N67" s="10">
        <v>43.8643</v>
      </c>
      <c r="O67" s="10">
        <v>45.016399999999997</v>
      </c>
      <c r="P67" s="10">
        <v>155.31100000000001</v>
      </c>
      <c r="Q67" s="10">
        <v>0.21099999999999999</v>
      </c>
      <c r="R67" s="11">
        <f t="shared" ref="R67:R78" si="9">P67/3600</f>
        <v>4.3141944444444448E-2</v>
      </c>
      <c r="S67" s="13">
        <f t="shared" ref="S67:S78" si="10">P67/H67</f>
        <v>0.96480841864625788</v>
      </c>
      <c r="T67" s="13">
        <f t="shared" ref="T67:T78" si="11">Q67/I67</f>
        <v>0.9859813084112149</v>
      </c>
      <c r="U67" s="81"/>
      <c r="V67" s="83">
        <f>bdrate($D67:$D70,E67:E70,$L67:$L70,M67:M70)</f>
        <v>3.0841323244177099E-2</v>
      </c>
      <c r="W67" s="84">
        <f>bdrate($D67:$D70,F67:F70,$L67:$L70,N67:N70)</f>
        <v>5.906732370120249E-2</v>
      </c>
      <c r="X67" s="84">
        <f>bdrate($D67:$D70,G67:G70,$L67:$L70,O67:O70)</f>
        <v>4.715483337653259E-2</v>
      </c>
      <c r="Y67" s="33">
        <f>bdrateOld($D67:$D70,E67:E70,$L67:$L70,M67:M70)</f>
        <v>3.0870541684052455E-2</v>
      </c>
      <c r="Z67" s="37">
        <f>bdrateOld($D67:$D70,F67:F70,$L67:$L70,N67:N70)</f>
        <v>6.3914985182476514E-2</v>
      </c>
      <c r="AA67" s="38">
        <f>bdrateOld($D67:$D70,G67:G70,$L67:$L70,O67:O70)</f>
        <v>4.7599271756676886E-2</v>
      </c>
    </row>
    <row r="68" spans="1:27" x14ac:dyDescent="0.2">
      <c r="A68" s="25"/>
      <c r="B68" s="25"/>
      <c r="C68" s="25">
        <v>27</v>
      </c>
      <c r="D68" s="104">
        <v>518.65920000000006</v>
      </c>
      <c r="E68" s="13">
        <v>36.005299999999998</v>
      </c>
      <c r="F68" s="13">
        <v>42.015599999999999</v>
      </c>
      <c r="G68" s="13">
        <v>43.326099999999997</v>
      </c>
      <c r="H68" s="13">
        <v>117.056</v>
      </c>
      <c r="I68" s="13">
        <v>0.16200000000000001</v>
      </c>
      <c r="J68" s="14">
        <f t="shared" si="8"/>
        <v>3.2515555555555554E-2</v>
      </c>
      <c r="K68" s="81"/>
      <c r="L68" s="104">
        <v>485.20800000000003</v>
      </c>
      <c r="M68" s="13">
        <v>35.597900000000003</v>
      </c>
      <c r="N68" s="13">
        <v>41.663899999999998</v>
      </c>
      <c r="O68" s="13">
        <v>43.020299999999999</v>
      </c>
      <c r="P68" s="13">
        <v>112.51300000000001</v>
      </c>
      <c r="Q68" s="13">
        <v>0.154</v>
      </c>
      <c r="R68" s="14">
        <f t="shared" si="9"/>
        <v>3.1253611111111114E-2</v>
      </c>
      <c r="S68" s="13">
        <f t="shared" si="10"/>
        <v>0.96118951612903236</v>
      </c>
      <c r="T68" s="13">
        <f t="shared" si="11"/>
        <v>0.95061728395061729</v>
      </c>
      <c r="U68" s="81"/>
      <c r="V68" s="86"/>
      <c r="W68" s="87"/>
      <c r="X68" s="87"/>
      <c r="Y68" s="31"/>
      <c r="Z68" s="29"/>
      <c r="AA68" s="43"/>
    </row>
    <row r="69" spans="1:27" x14ac:dyDescent="0.2">
      <c r="A69" s="25"/>
      <c r="B69" s="25"/>
      <c r="C69" s="25">
        <v>32</v>
      </c>
      <c r="D69" s="104">
        <v>253.54560000000001</v>
      </c>
      <c r="E69" s="13">
        <v>32.916400000000003</v>
      </c>
      <c r="F69" s="13">
        <v>40.263500000000001</v>
      </c>
      <c r="G69" s="13">
        <v>41.504100000000001</v>
      </c>
      <c r="H69" s="13">
        <v>87.942999999999998</v>
      </c>
      <c r="I69" s="13">
        <v>0.13200000000000001</v>
      </c>
      <c r="J69" s="14">
        <f t="shared" si="8"/>
        <v>2.4428611111111109E-2</v>
      </c>
      <c r="K69" s="81"/>
      <c r="L69" s="104">
        <v>240.55199999999999</v>
      </c>
      <c r="M69" s="13">
        <v>32.594000000000001</v>
      </c>
      <c r="N69" s="13">
        <v>40.109400000000001</v>
      </c>
      <c r="O69" s="13">
        <v>41.3142</v>
      </c>
      <c r="P69" s="13">
        <v>85.53</v>
      </c>
      <c r="Q69" s="13">
        <v>0.126</v>
      </c>
      <c r="R69" s="14">
        <f t="shared" si="9"/>
        <v>2.3758333333333333E-2</v>
      </c>
      <c r="S69" s="13">
        <f t="shared" si="10"/>
        <v>0.97256177296658064</v>
      </c>
      <c r="T69" s="13">
        <f t="shared" si="11"/>
        <v>0.95454545454545447</v>
      </c>
      <c r="U69" s="81"/>
      <c r="V69" s="86"/>
      <c r="W69" s="87"/>
      <c r="X69" s="87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05">
        <v>140.20320000000001</v>
      </c>
      <c r="E70" s="17">
        <v>30.2103</v>
      </c>
      <c r="F70" s="17">
        <v>39.0929</v>
      </c>
      <c r="G70" s="17">
        <v>40.003100000000003</v>
      </c>
      <c r="H70" s="17">
        <v>59.054000000000002</v>
      </c>
      <c r="I70" s="17">
        <v>0.111</v>
      </c>
      <c r="J70" s="18">
        <f t="shared" si="8"/>
        <v>1.6403888888888888E-2</v>
      </c>
      <c r="K70" s="81"/>
      <c r="L70" s="105">
        <v>132.3552</v>
      </c>
      <c r="M70" s="17">
        <v>29.8598</v>
      </c>
      <c r="N70" s="17">
        <v>38.8934</v>
      </c>
      <c r="O70" s="17">
        <v>39.829000000000001</v>
      </c>
      <c r="P70" s="17">
        <v>57.064</v>
      </c>
      <c r="Q70" s="17">
        <v>0.10299999999999999</v>
      </c>
      <c r="R70" s="18">
        <f t="shared" si="9"/>
        <v>1.5851111111111111E-2</v>
      </c>
      <c r="S70" s="13">
        <f t="shared" si="10"/>
        <v>0.96630202865174242</v>
      </c>
      <c r="T70" s="13">
        <f t="shared" si="11"/>
        <v>0.92792792792792789</v>
      </c>
      <c r="U70" s="81"/>
      <c r="V70" s="89"/>
      <c r="W70" s="90"/>
      <c r="X70" s="90"/>
      <c r="Y70" s="32"/>
      <c r="Z70" s="44"/>
      <c r="AA70" s="45"/>
    </row>
    <row r="71" spans="1:27" x14ac:dyDescent="0.2">
      <c r="A71" s="25"/>
      <c r="B71" s="24" t="s">
        <v>76</v>
      </c>
      <c r="C71" s="24">
        <v>22</v>
      </c>
      <c r="D71" s="103">
        <v>1407.4079999999999</v>
      </c>
      <c r="E71" s="10">
        <v>38.882399999999997</v>
      </c>
      <c r="F71" s="10">
        <v>41.983600000000003</v>
      </c>
      <c r="G71" s="10">
        <v>43.369500000000002</v>
      </c>
      <c r="H71" s="10">
        <v>295.56400000000002</v>
      </c>
      <c r="I71" s="10">
        <v>0.245</v>
      </c>
      <c r="J71" s="11">
        <f t="shared" si="8"/>
        <v>8.2101111111111111E-2</v>
      </c>
      <c r="K71" s="81"/>
      <c r="L71" s="103">
        <v>1196.4359999999999</v>
      </c>
      <c r="M71" s="10">
        <v>38.121099999999998</v>
      </c>
      <c r="N71" s="10">
        <v>41.345100000000002</v>
      </c>
      <c r="O71" s="10">
        <v>42.739100000000001</v>
      </c>
      <c r="P71" s="10">
        <v>286.46100000000001</v>
      </c>
      <c r="Q71" s="10">
        <v>0.23899999999999999</v>
      </c>
      <c r="R71" s="11">
        <f t="shared" si="9"/>
        <v>7.9572500000000004E-2</v>
      </c>
      <c r="S71" s="13">
        <f t="shared" si="10"/>
        <v>0.96920125590396666</v>
      </c>
      <c r="T71" s="13">
        <f t="shared" si="11"/>
        <v>0.97551020408163258</v>
      </c>
      <c r="U71" s="81"/>
      <c r="V71" s="83">
        <f>bdrate($D71:$D74,E71:E74,$L71:$L74,M71:M74)</f>
        <v>1.9189082029069882E-2</v>
      </c>
      <c r="W71" s="84">
        <f>bdrate($D71:$D74,F71:F74,$L71:$L74,N71:N74)</f>
        <v>3.0320781252997975E-2</v>
      </c>
      <c r="X71" s="84">
        <f>bdrate($D71:$D74,G71:G74,$L71:$L74,O71:O74)</f>
        <v>1.9575507874665776E-2</v>
      </c>
      <c r="Y71" s="33">
        <f>bdrateOld($D71:$D74,E71:E74,$L71:$L74,M71:M74)</f>
        <v>1.9232412654138553E-2</v>
      </c>
      <c r="Z71" s="37">
        <f>bdrateOld($D71:$D74,F71:F74,$L71:$L74,N71:N74)</f>
        <v>3.2991862116256376E-2</v>
      </c>
      <c r="AA71" s="38">
        <f>bdrateOld($D71:$D74,G71:G74,$L71:$L74,O71:O74)</f>
        <v>2.2487677373874693E-2</v>
      </c>
    </row>
    <row r="72" spans="1:27" x14ac:dyDescent="0.2">
      <c r="A72" s="25"/>
      <c r="B72" s="25"/>
      <c r="C72" s="25">
        <v>27</v>
      </c>
      <c r="D72" s="104">
        <v>679.42399999999998</v>
      </c>
      <c r="E72" s="13">
        <v>35.999200000000002</v>
      </c>
      <c r="F72" s="13">
        <v>39.8339</v>
      </c>
      <c r="G72" s="13">
        <v>40.981499999999997</v>
      </c>
      <c r="H72" s="13">
        <v>215.012</v>
      </c>
      <c r="I72" s="13">
        <v>0.183</v>
      </c>
      <c r="J72" s="14">
        <f t="shared" si="8"/>
        <v>5.9725555555555553E-2</v>
      </c>
      <c r="K72" s="81"/>
      <c r="L72" s="104">
        <v>630.73599999999999</v>
      </c>
      <c r="M72" s="13">
        <v>35.614800000000002</v>
      </c>
      <c r="N72" s="13">
        <v>39.517899999999997</v>
      </c>
      <c r="O72" s="13">
        <v>40.642099999999999</v>
      </c>
      <c r="P72" s="13">
        <v>202.07499999999999</v>
      </c>
      <c r="Q72" s="13">
        <v>0.17899999999999999</v>
      </c>
      <c r="R72" s="14">
        <f t="shared" si="9"/>
        <v>5.6131944444444443E-2</v>
      </c>
      <c r="S72" s="13">
        <f t="shared" si="10"/>
        <v>0.9398312652317079</v>
      </c>
      <c r="T72" s="13">
        <f t="shared" si="11"/>
        <v>0.97814207650273222</v>
      </c>
      <c r="U72" s="81"/>
      <c r="V72" s="86"/>
      <c r="W72" s="87"/>
      <c r="X72" s="87"/>
      <c r="Y72" s="31"/>
      <c r="Z72" s="29"/>
      <c r="AA72" s="43"/>
    </row>
    <row r="73" spans="1:27" x14ac:dyDescent="0.2">
      <c r="A73" s="25"/>
      <c r="B73" s="25"/>
      <c r="C73" s="25">
        <v>32</v>
      </c>
      <c r="D73" s="104">
        <v>331.44799999999998</v>
      </c>
      <c r="E73" s="13">
        <v>33.135100000000001</v>
      </c>
      <c r="F73" s="13">
        <v>38.083199999999998</v>
      </c>
      <c r="G73" s="13">
        <v>38.957599999999999</v>
      </c>
      <c r="H73" s="13">
        <v>150.31899999999999</v>
      </c>
      <c r="I73" s="13">
        <v>0.13600000000000001</v>
      </c>
      <c r="J73" s="14">
        <f t="shared" si="8"/>
        <v>4.1755277777777773E-2</v>
      </c>
      <c r="K73" s="81"/>
      <c r="L73" s="104">
        <v>310.32400000000001</v>
      </c>
      <c r="M73" s="13">
        <v>32.8142</v>
      </c>
      <c r="N73" s="13">
        <v>37.956400000000002</v>
      </c>
      <c r="O73" s="13">
        <v>38.829500000000003</v>
      </c>
      <c r="P73" s="13">
        <v>146.53</v>
      </c>
      <c r="Q73" s="13">
        <v>0.13100000000000001</v>
      </c>
      <c r="R73" s="14">
        <f t="shared" si="9"/>
        <v>4.0702777777777775E-2</v>
      </c>
      <c r="S73" s="13">
        <f t="shared" si="10"/>
        <v>0.97479360559876005</v>
      </c>
      <c r="T73" s="13">
        <f t="shared" si="11"/>
        <v>0.96323529411764708</v>
      </c>
      <c r="U73" s="81"/>
      <c r="V73" s="86"/>
      <c r="W73" s="87"/>
      <c r="X73" s="87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05">
        <v>161.73599999999999</v>
      </c>
      <c r="E74" s="17">
        <v>30.3931</v>
      </c>
      <c r="F74" s="17">
        <v>36.7074</v>
      </c>
      <c r="G74" s="17">
        <v>37.496899999999997</v>
      </c>
      <c r="H74" s="17">
        <v>101.13800000000001</v>
      </c>
      <c r="I74" s="17">
        <v>0.10100000000000001</v>
      </c>
      <c r="J74" s="18">
        <f t="shared" si="8"/>
        <v>2.809388888888889E-2</v>
      </c>
      <c r="K74" s="81"/>
      <c r="L74" s="105">
        <v>151.94800000000001</v>
      </c>
      <c r="M74" s="17">
        <v>30.142800000000001</v>
      </c>
      <c r="N74" s="17">
        <v>36.441000000000003</v>
      </c>
      <c r="O74" s="17">
        <v>37.298900000000003</v>
      </c>
      <c r="P74" s="17">
        <v>97.102000000000004</v>
      </c>
      <c r="Q74" s="17">
        <v>0.1</v>
      </c>
      <c r="R74" s="18">
        <f t="shared" si="9"/>
        <v>2.697277777777778E-2</v>
      </c>
      <c r="S74" s="13">
        <f t="shared" si="10"/>
        <v>0.96009412881409562</v>
      </c>
      <c r="T74" s="13">
        <f t="shared" si="11"/>
        <v>0.99009900990099009</v>
      </c>
      <c r="U74" s="81"/>
      <c r="V74" s="89"/>
      <c r="W74" s="90"/>
      <c r="X74" s="90"/>
      <c r="Y74" s="32"/>
      <c r="Z74" s="44"/>
      <c r="AA74" s="45"/>
    </row>
    <row r="75" spans="1:27" x14ac:dyDescent="0.2">
      <c r="A75" s="25"/>
      <c r="B75" s="24" t="s">
        <v>77</v>
      </c>
      <c r="C75" s="24">
        <v>22</v>
      </c>
      <c r="D75" s="103">
        <v>1153.8648000000001</v>
      </c>
      <c r="E75" s="10">
        <v>39.737400000000001</v>
      </c>
      <c r="F75" s="10">
        <v>41.935000000000002</v>
      </c>
      <c r="G75" s="10">
        <v>42.451999999999998</v>
      </c>
      <c r="H75" s="10">
        <v>404.56</v>
      </c>
      <c r="I75" s="10">
        <v>0.30399999999999999</v>
      </c>
      <c r="J75" s="11">
        <f t="shared" si="8"/>
        <v>0.11237777777777778</v>
      </c>
      <c r="K75" s="81"/>
      <c r="L75" s="103">
        <v>990.93119999999999</v>
      </c>
      <c r="M75" s="10">
        <v>38.785299999999999</v>
      </c>
      <c r="N75" s="10">
        <v>41.2943</v>
      </c>
      <c r="O75" s="10">
        <v>41.798900000000003</v>
      </c>
      <c r="P75" s="10">
        <v>389.70499999999998</v>
      </c>
      <c r="Q75" s="10">
        <v>0.28999999999999998</v>
      </c>
      <c r="R75" s="11">
        <f t="shared" si="9"/>
        <v>0.10825138888888888</v>
      </c>
      <c r="S75" s="13">
        <f t="shared" si="10"/>
        <v>0.96328109551117258</v>
      </c>
      <c r="T75" s="13">
        <f t="shared" si="11"/>
        <v>0.95394736842105254</v>
      </c>
      <c r="U75" s="81"/>
      <c r="V75" s="83">
        <f>bdrate($D75:$D78,E75:E78,$L75:$L78,M75:M78)</f>
        <v>1.302994096740151E-2</v>
      </c>
      <c r="W75" s="84">
        <f>bdrate($D75:$D78,F75:F78,$L75:$L78,N75:N78)</f>
        <v>4.0206670656355969E-2</v>
      </c>
      <c r="X75" s="84">
        <f>bdrate($D75:$D78,G75:G78,$L75:$L78,O75:O78)</f>
        <v>3.6779216019007688E-2</v>
      </c>
      <c r="Y75" s="33">
        <f>bdrateOld($D75:$D78,E75:E78,$L75:$L78,M75:M78)</f>
        <v>1.2708810261667036E-2</v>
      </c>
      <c r="Z75" s="37">
        <f>bdrateOld($D75:$D78,F75:F78,$L75:$L78,N75:N78)</f>
        <v>4.2137910648950339E-2</v>
      </c>
      <c r="AA75" s="38">
        <f>bdrateOld($D75:$D78,G75:G78,$L75:$L78,O75:O78)</f>
        <v>3.5188292216744799E-2</v>
      </c>
    </row>
    <row r="76" spans="1:27" x14ac:dyDescent="0.2">
      <c r="A76" s="25"/>
      <c r="B76" s="25"/>
      <c r="C76" s="25">
        <v>27</v>
      </c>
      <c r="D76" s="104">
        <v>560.19119999999998</v>
      </c>
      <c r="E76" s="13">
        <v>35.857500000000002</v>
      </c>
      <c r="F76" s="13">
        <v>39.665999999999997</v>
      </c>
      <c r="G76" s="13">
        <v>40.1312</v>
      </c>
      <c r="H76" s="13">
        <v>302.46699999999998</v>
      </c>
      <c r="I76" s="13">
        <v>0.223</v>
      </c>
      <c r="J76" s="14">
        <f t="shared" si="8"/>
        <v>8.4018611111111113E-2</v>
      </c>
      <c r="K76" s="81"/>
      <c r="L76" s="104">
        <v>487.37759999999997</v>
      </c>
      <c r="M76" s="13">
        <v>35.073500000000003</v>
      </c>
      <c r="N76" s="13">
        <v>39.198900000000002</v>
      </c>
      <c r="O76" s="13">
        <v>39.676099999999998</v>
      </c>
      <c r="P76" s="13">
        <v>291.73200000000003</v>
      </c>
      <c r="Q76" s="13">
        <v>0.21299999999999999</v>
      </c>
      <c r="R76" s="14">
        <f t="shared" si="9"/>
        <v>8.1036666666666674E-2</v>
      </c>
      <c r="S76" s="13">
        <f t="shared" si="10"/>
        <v>0.96450852489693106</v>
      </c>
      <c r="T76" s="13">
        <f t="shared" si="11"/>
        <v>0.95515695067264572</v>
      </c>
      <c r="U76" s="81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04">
        <v>281.08080000000001</v>
      </c>
      <c r="E77" s="13">
        <v>32.519100000000002</v>
      </c>
      <c r="F77" s="13">
        <v>38.059199999999997</v>
      </c>
      <c r="G77" s="13">
        <v>38.380299999999998</v>
      </c>
      <c r="H77" s="13">
        <v>233.52199999999999</v>
      </c>
      <c r="I77" s="13">
        <v>0.17199999999999999</v>
      </c>
      <c r="J77" s="14">
        <f t="shared" si="8"/>
        <v>6.4867222222222215E-2</v>
      </c>
      <c r="K77" s="81"/>
      <c r="L77" s="104">
        <v>246.15600000000001</v>
      </c>
      <c r="M77" s="13">
        <v>31.914200000000001</v>
      </c>
      <c r="N77" s="13">
        <v>37.714599999999997</v>
      </c>
      <c r="O77" s="13">
        <v>37.938800000000001</v>
      </c>
      <c r="P77" s="13">
        <v>227.82900000000001</v>
      </c>
      <c r="Q77" s="13">
        <v>0.16700000000000001</v>
      </c>
      <c r="R77" s="14">
        <f t="shared" si="9"/>
        <v>6.3285833333333333E-2</v>
      </c>
      <c r="S77" s="13">
        <f t="shared" si="10"/>
        <v>0.97562114062058403</v>
      </c>
      <c r="T77" s="13">
        <f t="shared" si="11"/>
        <v>0.97093023255813971</v>
      </c>
      <c r="U77" s="81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05">
        <v>136.5624</v>
      </c>
      <c r="E78" s="17">
        <v>29.663</v>
      </c>
      <c r="F78" s="17">
        <v>36.665799999999997</v>
      </c>
      <c r="G78" s="17">
        <v>36.715200000000003</v>
      </c>
      <c r="H78" s="17">
        <v>173.86500000000001</v>
      </c>
      <c r="I78" s="17">
        <v>0.13400000000000001</v>
      </c>
      <c r="J78" s="18">
        <f t="shared" si="8"/>
        <v>4.8295833333333336E-2</v>
      </c>
      <c r="K78" s="81"/>
      <c r="L78" s="105">
        <v>120.408</v>
      </c>
      <c r="M78" s="17">
        <v>29.200600000000001</v>
      </c>
      <c r="N78" s="17">
        <v>36.334699999999998</v>
      </c>
      <c r="O78" s="17">
        <v>36.403100000000002</v>
      </c>
      <c r="P78" s="17">
        <v>170.58</v>
      </c>
      <c r="Q78" s="17">
        <v>0.129</v>
      </c>
      <c r="R78" s="18">
        <f t="shared" si="9"/>
        <v>4.738333333333334E-2</v>
      </c>
      <c r="S78" s="17">
        <f t="shared" si="10"/>
        <v>0.98110603054093692</v>
      </c>
      <c r="T78" s="17">
        <f t="shared" si="11"/>
        <v>0.96268656716417911</v>
      </c>
      <c r="U78" s="82"/>
      <c r="V78" s="32"/>
      <c r="W78" s="44"/>
      <c r="X78" s="44"/>
      <c r="Y78" s="32"/>
      <c r="Z78" s="44"/>
      <c r="AA78" s="45"/>
    </row>
    <row r="79" spans="1:27" x14ac:dyDescent="0.2">
      <c r="A79" s="24" t="s">
        <v>100</v>
      </c>
      <c r="B79" s="24" t="s">
        <v>78</v>
      </c>
      <c r="C79" s="24">
        <v>22</v>
      </c>
      <c r="D79" s="9">
        <v>1907.6928</v>
      </c>
      <c r="E79" s="10">
        <v>43.251199999999997</v>
      </c>
      <c r="F79" s="10">
        <v>47.4</v>
      </c>
      <c r="G79" s="10">
        <v>48.967700000000001</v>
      </c>
      <c r="H79" s="10"/>
      <c r="I79" s="10"/>
      <c r="J79" s="11"/>
      <c r="L79" s="9">
        <v>1586.8224</v>
      </c>
      <c r="M79" s="10">
        <v>42.936799999999998</v>
      </c>
      <c r="N79" s="10">
        <v>47.134</v>
      </c>
      <c r="O79" s="10">
        <v>48.6937</v>
      </c>
      <c r="P79" s="10"/>
      <c r="Q79" s="10"/>
      <c r="R79" s="11"/>
      <c r="S79" s="10"/>
      <c r="T79" s="10"/>
      <c r="U79" s="47"/>
      <c r="V79" s="71">
        <f>bdrate($D79:$D82,E79:E82,$L79:$L82,M79:M82)</f>
        <v>1.3947154877721912E-2</v>
      </c>
      <c r="W79" s="72">
        <f>bdrate($D79:$D82,F79:F82,$L79:$L82,N79:N82)</f>
        <v>5.5778982883851747E-3</v>
      </c>
      <c r="X79" s="73">
        <f>bdrate($D79:$D82,G79:G82,$L79:$L82,O79:O82)</f>
        <v>-1.2452601867761759E-3</v>
      </c>
      <c r="Y79" s="30">
        <f>bdrateOld($D79:$D82,E79:E82,$L79:$L82,M79:M82)</f>
        <v>1.0756013110264195E-2</v>
      </c>
      <c r="Z79" s="35">
        <f>bdrateOld($D79:$D82,F79:F82,$L79:$L82,N79:N82)</f>
        <v>5.4230887708774933E-3</v>
      </c>
      <c r="AA79" s="36">
        <f>bdrateOld($D79:$D82,G79:G82,$L79:$L82,O79:O82)</f>
        <v>-1.8743453968966817E-3</v>
      </c>
    </row>
    <row r="80" spans="1:27" x14ac:dyDescent="0.2">
      <c r="A80" s="25" t="s">
        <v>101</v>
      </c>
      <c r="B80" s="25"/>
      <c r="C80" s="25">
        <v>27</v>
      </c>
      <c r="D80" s="12">
        <v>806.98080000000004</v>
      </c>
      <c r="E80" s="13">
        <v>41.6873</v>
      </c>
      <c r="F80" s="13">
        <v>45.846400000000003</v>
      </c>
      <c r="G80" s="13">
        <v>47.398400000000002</v>
      </c>
      <c r="H80" s="13"/>
      <c r="I80" s="13"/>
      <c r="J80" s="14"/>
      <c r="L80" s="12">
        <v>719.37120000000004</v>
      </c>
      <c r="M80" s="13">
        <v>41.322800000000001</v>
      </c>
      <c r="N80" s="13">
        <v>45.549700000000001</v>
      </c>
      <c r="O80" s="13">
        <v>47.115200000000002</v>
      </c>
      <c r="P80" s="13"/>
      <c r="Q80" s="13"/>
      <c r="R80" s="14"/>
      <c r="S80" s="13"/>
      <c r="T80" s="13"/>
      <c r="U80" s="48"/>
      <c r="V80" s="74"/>
      <c r="W80" s="75"/>
      <c r="X80" s="76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v>450.60480000000001</v>
      </c>
      <c r="E81" s="13">
        <v>39.692599999999999</v>
      </c>
      <c r="F81" s="13">
        <v>44.4373</v>
      </c>
      <c r="G81" s="13">
        <v>45.848700000000001</v>
      </c>
      <c r="H81" s="13"/>
      <c r="I81" s="13"/>
      <c r="J81" s="14"/>
      <c r="L81" s="12">
        <v>408.7824</v>
      </c>
      <c r="M81" s="13">
        <v>39.249699999999997</v>
      </c>
      <c r="N81" s="13">
        <v>44.186799999999998</v>
      </c>
      <c r="O81" s="13">
        <v>45.592599999999997</v>
      </c>
      <c r="P81" s="13"/>
      <c r="Q81" s="13"/>
      <c r="R81" s="14"/>
      <c r="S81" s="13"/>
      <c r="T81" s="13"/>
      <c r="U81" s="48"/>
      <c r="V81" s="74"/>
      <c r="W81" s="75"/>
      <c r="X81" s="76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v>261.35520000000002</v>
      </c>
      <c r="E82" s="17">
        <v>37.1417</v>
      </c>
      <c r="F82" s="17">
        <v>42.977899999999998</v>
      </c>
      <c r="G82" s="17">
        <v>44.332700000000003</v>
      </c>
      <c r="H82" s="17"/>
      <c r="I82" s="17"/>
      <c r="J82" s="18"/>
      <c r="L82" s="16">
        <v>238.65600000000001</v>
      </c>
      <c r="M82" s="17">
        <v>36.668500000000002</v>
      </c>
      <c r="N82" s="17">
        <v>42.728900000000003</v>
      </c>
      <c r="O82" s="17">
        <v>44.098999999999997</v>
      </c>
      <c r="P82" s="17"/>
      <c r="Q82" s="17"/>
      <c r="R82" s="18"/>
      <c r="S82" s="13"/>
      <c r="T82" s="13"/>
      <c r="U82" s="48"/>
      <c r="V82" s="77"/>
      <c r="W82" s="78"/>
      <c r="X82" s="79"/>
      <c r="Y82" s="32"/>
      <c r="Z82" s="44"/>
      <c r="AA82" s="45"/>
    </row>
    <row r="83" spans="1:27" x14ac:dyDescent="0.2">
      <c r="A83" s="25"/>
      <c r="B83" s="24" t="s">
        <v>79</v>
      </c>
      <c r="C83" s="24">
        <v>22</v>
      </c>
      <c r="D83" s="9">
        <v>1614.6192000000001</v>
      </c>
      <c r="E83" s="10">
        <v>43.265700000000002</v>
      </c>
      <c r="F83" s="10">
        <v>48.729300000000002</v>
      </c>
      <c r="G83" s="10">
        <v>49.517099999999999</v>
      </c>
      <c r="H83" s="10"/>
      <c r="I83" s="10"/>
      <c r="J83" s="11"/>
      <c r="L83" s="9">
        <v>1291.296</v>
      </c>
      <c r="M83" s="10">
        <v>42.999400000000001</v>
      </c>
      <c r="N83" s="10">
        <v>48.4878</v>
      </c>
      <c r="O83" s="10">
        <v>49.2958</v>
      </c>
      <c r="P83" s="10"/>
      <c r="Q83" s="10"/>
      <c r="R83" s="11"/>
      <c r="S83" s="13"/>
      <c r="T83" s="13"/>
      <c r="U83" s="48"/>
      <c r="V83" s="71">
        <f>bdrate($D83:$D86,E83:E86,$L83:$L86,M83:M86)</f>
        <v>3.2307630648197527E-2</v>
      </c>
      <c r="W83" s="72">
        <f>bdrate($D83:$D86,F83:F86,$L83:$L86,N83:N86)</f>
        <v>1.5061356246732327E-2</v>
      </c>
      <c r="X83" s="72">
        <f>bdrate($D83:$D86,G83:G86,$L83:$L86,O83:O86)</f>
        <v>1.3921421042463855E-2</v>
      </c>
      <c r="Y83" s="33">
        <f>bdrateOld($D83:$D86,E83:E86,$L83:$L86,M83:M86)</f>
        <v>3.0515029466424259E-2</v>
      </c>
      <c r="Z83" s="37">
        <f>bdrateOld($D83:$D86,F83:F86,$L83:$L86,N83:N86)</f>
        <v>1.4320826293148681E-2</v>
      </c>
      <c r="AA83" s="38">
        <f>bdrateOld($D83:$D86,G83:G86,$L83:$L86,O83:O86)</f>
        <v>1.2334966359888844E-2</v>
      </c>
    </row>
    <row r="84" spans="1:27" x14ac:dyDescent="0.2">
      <c r="A84" s="25"/>
      <c r="B84" s="25"/>
      <c r="C84" s="25">
        <v>27</v>
      </c>
      <c r="D84" s="12">
        <v>597.90719999999999</v>
      </c>
      <c r="E84" s="13">
        <v>42.196300000000001</v>
      </c>
      <c r="F84" s="13">
        <v>47.442700000000002</v>
      </c>
      <c r="G84" s="13">
        <v>48.244599999999998</v>
      </c>
      <c r="H84" s="13"/>
      <c r="I84" s="13"/>
      <c r="J84" s="14"/>
      <c r="L84" s="12">
        <v>524.33759999999995</v>
      </c>
      <c r="M84" s="13">
        <v>41.937199999999997</v>
      </c>
      <c r="N84" s="13">
        <v>47.188600000000001</v>
      </c>
      <c r="O84" s="13">
        <v>47.957000000000001</v>
      </c>
      <c r="P84" s="13"/>
      <c r="Q84" s="13"/>
      <c r="R84" s="14"/>
      <c r="S84" s="13"/>
      <c r="T84" s="13"/>
      <c r="U84" s="48"/>
      <c r="V84" s="74"/>
      <c r="W84" s="75"/>
      <c r="X84" s="75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v>290.85120000000001</v>
      </c>
      <c r="E85" s="13">
        <v>40.776400000000002</v>
      </c>
      <c r="F85" s="13">
        <v>46.035499999999999</v>
      </c>
      <c r="G85" s="13">
        <v>46.838799999999999</v>
      </c>
      <c r="H85" s="13"/>
      <c r="I85" s="13"/>
      <c r="J85" s="14"/>
      <c r="L85" s="12">
        <v>264.21120000000002</v>
      </c>
      <c r="M85" s="13">
        <v>40.458599999999997</v>
      </c>
      <c r="N85" s="13">
        <v>45.788600000000002</v>
      </c>
      <c r="O85" s="13">
        <v>46.611499999999999</v>
      </c>
      <c r="P85" s="13"/>
      <c r="Q85" s="13"/>
      <c r="R85" s="14"/>
      <c r="S85" s="13"/>
      <c r="T85" s="13"/>
      <c r="U85" s="48"/>
      <c r="V85" s="74"/>
      <c r="W85" s="75"/>
      <c r="X85" s="75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v>161.58240000000001</v>
      </c>
      <c r="E86" s="17">
        <v>38.882300000000001</v>
      </c>
      <c r="F86" s="17">
        <v>44.582700000000003</v>
      </c>
      <c r="G86" s="17">
        <v>45.311700000000002</v>
      </c>
      <c r="H86" s="17"/>
      <c r="I86" s="17"/>
      <c r="J86" s="18"/>
      <c r="L86" s="16">
        <v>148.49760000000001</v>
      </c>
      <c r="M86" s="17">
        <v>38.490900000000003</v>
      </c>
      <c r="N86" s="17">
        <v>44.264000000000003</v>
      </c>
      <c r="O86" s="17">
        <v>45.059199999999997</v>
      </c>
      <c r="P86" s="17"/>
      <c r="Q86" s="17"/>
      <c r="R86" s="18"/>
      <c r="S86" s="13"/>
      <c r="T86" s="13"/>
      <c r="U86" s="48"/>
      <c r="V86" s="77"/>
      <c r="W86" s="78"/>
      <c r="X86" s="78"/>
      <c r="Y86" s="32"/>
      <c r="Z86" s="44"/>
      <c r="AA86" s="45"/>
    </row>
    <row r="87" spans="1:27" x14ac:dyDescent="0.2">
      <c r="A87" s="25"/>
      <c r="B87" s="24" t="s">
        <v>80</v>
      </c>
      <c r="C87" s="24">
        <v>22</v>
      </c>
      <c r="D87" s="9">
        <v>1632.912</v>
      </c>
      <c r="E87" s="10">
        <v>43.804499999999997</v>
      </c>
      <c r="F87" s="10">
        <v>48.147199999999998</v>
      </c>
      <c r="G87" s="10">
        <v>49.251100000000001</v>
      </c>
      <c r="H87" s="10"/>
      <c r="I87" s="10"/>
      <c r="J87" s="11"/>
      <c r="L87" s="9"/>
      <c r="M87" s="10"/>
      <c r="N87" s="10"/>
      <c r="O87" s="10"/>
      <c r="P87" s="10"/>
      <c r="Q87" s="10"/>
      <c r="R87" s="11"/>
      <c r="S87" s="13"/>
      <c r="T87" s="13"/>
      <c r="U87" s="48"/>
      <c r="V87" s="71" t="e">
        <f>bdrate($D87:$D90,E87:E90,$L87:$L90,M87:M90)</f>
        <v>#VALUE!</v>
      </c>
      <c r="W87" s="72" t="e">
        <f>bdrate($D87:$D90,F87:F90,$L87:$L90,N87:N90)</f>
        <v>#VALUE!</v>
      </c>
      <c r="X87" s="72" t="e">
        <f>bdrate($D87:$D90,G87:G90,$L87:$L90,O87:O90)</f>
        <v>#VALUE!</v>
      </c>
      <c r="Y87" s="33" t="e">
        <f>bdrateOld($D87:$D90,E87:E90,$L87:$L90,M87:M90)</f>
        <v>#VALUE!</v>
      </c>
      <c r="Z87" s="37" t="e">
        <f>bdrateOld($D87:$D90,F87:F90,$L87:$L90,N87:N90)</f>
        <v>#VALUE!</v>
      </c>
      <c r="AA87" s="38" t="e">
        <f>bdrateOld($D87:$D90,G87:G90,$L87:$L90,O87:O90)</f>
        <v>#VALUE!</v>
      </c>
    </row>
    <row r="88" spans="1:27" x14ac:dyDescent="0.2">
      <c r="A88" s="25"/>
      <c r="B88" s="25"/>
      <c r="C88" s="25">
        <v>27</v>
      </c>
      <c r="D88" s="12">
        <v>737.76</v>
      </c>
      <c r="E88" s="13">
        <v>42.5548</v>
      </c>
      <c r="F88" s="13">
        <v>46.708300000000001</v>
      </c>
      <c r="G88" s="13">
        <v>47.874699999999997</v>
      </c>
      <c r="H88" s="13"/>
      <c r="I88" s="13"/>
      <c r="J88" s="14"/>
      <c r="L88" s="12"/>
      <c r="M88" s="13"/>
      <c r="N88" s="13"/>
      <c r="O88" s="13"/>
      <c r="P88" s="13"/>
      <c r="Q88" s="13"/>
      <c r="R88" s="14"/>
      <c r="S88" s="13"/>
      <c r="T88" s="13"/>
      <c r="U88" s="48"/>
      <c r="V88" s="74"/>
      <c r="W88" s="75"/>
      <c r="X88" s="75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v>373.56479999999999</v>
      </c>
      <c r="E89" s="13">
        <v>40.776400000000002</v>
      </c>
      <c r="F89" s="13">
        <v>45.210599999999999</v>
      </c>
      <c r="G89" s="13">
        <v>46.403799999999997</v>
      </c>
      <c r="H89" s="13"/>
      <c r="I89" s="13"/>
      <c r="J89" s="14"/>
      <c r="L89" s="12"/>
      <c r="M89" s="13"/>
      <c r="N89" s="13"/>
      <c r="O89" s="13"/>
      <c r="P89" s="13"/>
      <c r="Q89" s="13"/>
      <c r="R89" s="14"/>
      <c r="S89" s="13"/>
      <c r="T89" s="13"/>
      <c r="U89" s="48"/>
      <c r="V89" s="74"/>
      <c r="W89" s="75"/>
      <c r="X89" s="75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v>206.70240000000001</v>
      </c>
      <c r="E90" s="17">
        <v>38.567100000000003</v>
      </c>
      <c r="F90" s="17">
        <v>43.791499999999999</v>
      </c>
      <c r="G90" s="17">
        <v>44.985399999999998</v>
      </c>
      <c r="H90" s="17"/>
      <c r="I90" s="17"/>
      <c r="J90" s="18"/>
      <c r="L90" s="16"/>
      <c r="M90" s="17"/>
      <c r="N90" s="17"/>
      <c r="O90" s="17"/>
      <c r="P90" s="17"/>
      <c r="Q90" s="17"/>
      <c r="R90" s="18"/>
      <c r="S90" s="13"/>
      <c r="T90" s="13"/>
      <c r="U90" s="48"/>
      <c r="V90" s="77"/>
      <c r="W90" s="78"/>
      <c r="X90" s="78"/>
      <c r="Y90" s="32"/>
      <c r="Z90" s="44"/>
      <c r="AA90" s="45"/>
    </row>
    <row r="91" spans="1:27" x14ac:dyDescent="0.2">
      <c r="A91" s="24" t="s">
        <v>102</v>
      </c>
      <c r="B91" s="24" t="s">
        <v>81</v>
      </c>
      <c r="C91" s="24">
        <v>22</v>
      </c>
      <c r="D91" s="9">
        <f>Reference!B193</f>
        <v>3056.4535999999998</v>
      </c>
      <c r="E91" s="10">
        <f>Reference!C193</f>
        <v>41.395099999999999</v>
      </c>
      <c r="F91" s="10">
        <f>Reference!D193</f>
        <v>43.716099999999997</v>
      </c>
      <c r="G91" s="10">
        <f>Reference!E193</f>
        <v>44.452500000000001</v>
      </c>
      <c r="H91" s="10">
        <f>Reference!F193</f>
        <v>25541.437580099999</v>
      </c>
      <c r="I91" s="10">
        <f>Reference!G193</f>
        <v>15.3053429127</v>
      </c>
      <c r="J91" s="11">
        <f t="shared" ref="J91:J106" si="12">H91/3600</f>
        <v>7.09484377225</v>
      </c>
      <c r="L91" s="9">
        <f>Test!B193</f>
        <v>3056.4520000000002</v>
      </c>
      <c r="M91" s="10">
        <f>Test!C193</f>
        <v>41.395099999999999</v>
      </c>
      <c r="N91" s="10">
        <f>Test!D193</f>
        <v>43.716099999999997</v>
      </c>
      <c r="O91" s="10">
        <f>Test!E193</f>
        <v>44.452500000000001</v>
      </c>
      <c r="P91" s="10">
        <f>Test!F193</f>
        <v>25517.431885999998</v>
      </c>
      <c r="Q91" s="10">
        <f>Test!G193</f>
        <v>13.485481977499999</v>
      </c>
      <c r="R91" s="11">
        <f t="shared" ref="R91:R106" si="13">P91/3600</f>
        <v>7.0881755238888884</v>
      </c>
      <c r="S91" s="10">
        <f t="shared" ref="S91:S106" si="14">P91/H91</f>
        <v>0.99906012752709328</v>
      </c>
      <c r="T91" s="10">
        <f t="shared" ref="T91:T106" si="15">Q91/I91</f>
        <v>0.88109636317328599</v>
      </c>
      <c r="U91" s="47"/>
      <c r="V91" s="30">
        <f>bdrate($D91:$D94,E91:E94,$L91:$L94,M91:M94)</f>
        <v>-1.724025642912963E-6</v>
      </c>
      <c r="W91" s="35">
        <f>bdrate($D91:$D94,F91:F94,$L91:$L94,N91:N94)</f>
        <v>-1.6630847875509502E-6</v>
      </c>
      <c r="X91" s="36">
        <f>bdrate($D91:$D94,G91:G94,$L91:$L94,O91:O94)</f>
        <v>-1.637934444853606E-6</v>
      </c>
      <c r="Y91" s="30">
        <f>bdrateOld($D91:$D94,E91:E94,$L91:$L94,M91:M94)</f>
        <v>-1.7290794808166865E-6</v>
      </c>
      <c r="Z91" s="35">
        <f>bdrateOld($D91:$D94,F91:F94,$L91:$L94,N91:N94)</f>
        <v>-1.6738645761682491E-6</v>
      </c>
      <c r="AA91" s="36">
        <f>bdrateOld($D91:$D94,G91:G94,$L91:$L94,O91:O94)</f>
        <v>-1.6526705917119244E-6</v>
      </c>
    </row>
    <row r="92" spans="1:27" x14ac:dyDescent="0.2">
      <c r="A92" s="25"/>
      <c r="B92" s="25"/>
      <c r="C92" s="25">
        <v>27</v>
      </c>
      <c r="D92" s="12">
        <f>Reference!B194</f>
        <v>1446.1912</v>
      </c>
      <c r="E92" s="13">
        <f>Reference!C194</f>
        <v>38.082799999999999</v>
      </c>
      <c r="F92" s="13">
        <f>Reference!D194</f>
        <v>41.253300000000003</v>
      </c>
      <c r="G92" s="13">
        <f>Reference!E194</f>
        <v>41.6524</v>
      </c>
      <c r="H92" s="13">
        <f>Reference!F194</f>
        <v>19720.832559099999</v>
      </c>
      <c r="I92" s="13">
        <f>Reference!G194</f>
        <v>11.4953279495</v>
      </c>
      <c r="J92" s="14">
        <f t="shared" si="12"/>
        <v>5.4780090441944447</v>
      </c>
      <c r="L92" s="12">
        <f>Test!B194</f>
        <v>1446.1895999999999</v>
      </c>
      <c r="M92" s="13">
        <f>Test!C194</f>
        <v>38.082799999999999</v>
      </c>
      <c r="N92" s="13">
        <f>Test!D194</f>
        <v>41.253300000000003</v>
      </c>
      <c r="O92" s="13">
        <f>Test!E194</f>
        <v>41.6524</v>
      </c>
      <c r="P92" s="13">
        <f>Test!F194</f>
        <v>18786.4444406</v>
      </c>
      <c r="Q92" s="13">
        <f>Test!G194</f>
        <v>10.083869934100001</v>
      </c>
      <c r="R92" s="14">
        <f t="shared" si="13"/>
        <v>5.2184567890555558</v>
      </c>
      <c r="S92" s="13">
        <f t="shared" si="14"/>
        <v>0.95261923573967799</v>
      </c>
      <c r="T92" s="13">
        <f t="shared" si="15"/>
        <v>0.87721463697245872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Reference!B195</f>
        <v>744.8</v>
      </c>
      <c r="E93" s="13">
        <f>Reference!C195</f>
        <v>35.073</v>
      </c>
      <c r="F93" s="13">
        <f>Reference!D195</f>
        <v>39.265799999999999</v>
      </c>
      <c r="G93" s="13">
        <f>Reference!E195</f>
        <v>39.517699999999998</v>
      </c>
      <c r="H93" s="13">
        <f>Reference!F195</f>
        <v>13690.089308500001</v>
      </c>
      <c r="I93" s="13">
        <f>Reference!G195</f>
        <v>10.040549993500001</v>
      </c>
      <c r="J93" s="14">
        <f t="shared" si="12"/>
        <v>3.8028025856944447</v>
      </c>
      <c r="L93" s="12">
        <f>Test!B195</f>
        <v>744.79840000000002</v>
      </c>
      <c r="M93" s="13">
        <f>Test!C195</f>
        <v>35.073</v>
      </c>
      <c r="N93" s="13">
        <f>Test!D195</f>
        <v>39.265799999999999</v>
      </c>
      <c r="O93" s="13">
        <f>Test!E195</f>
        <v>39.517699999999998</v>
      </c>
      <c r="P93" s="13">
        <f>Test!F195</f>
        <v>13476.5704663</v>
      </c>
      <c r="Q93" s="13">
        <f>Test!G195</f>
        <v>8.0871970653500007</v>
      </c>
      <c r="R93" s="14">
        <f t="shared" si="13"/>
        <v>3.7434917961944443</v>
      </c>
      <c r="S93" s="13">
        <f t="shared" si="14"/>
        <v>0.98440340034396778</v>
      </c>
      <c r="T93" s="13">
        <f t="shared" si="15"/>
        <v>0.80545359273998418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Reference!B196</f>
        <v>387.6816</v>
      </c>
      <c r="E94" s="17">
        <f>Reference!C196</f>
        <v>32.317100000000003</v>
      </c>
      <c r="F94" s="17">
        <f>Reference!D196</f>
        <v>37.4985</v>
      </c>
      <c r="G94" s="17">
        <f>Reference!E196</f>
        <v>37.625599999999999</v>
      </c>
      <c r="H94" s="17">
        <f>Reference!F196</f>
        <v>9588.2202005399995</v>
      </c>
      <c r="I94" s="17">
        <f>Reference!G196</f>
        <v>6.9216380119299998</v>
      </c>
      <c r="J94" s="18">
        <f t="shared" si="12"/>
        <v>2.6633945001499999</v>
      </c>
      <c r="L94" s="16">
        <f>Test!B196</f>
        <v>387.68</v>
      </c>
      <c r="M94" s="17">
        <f>Test!C196</f>
        <v>32.317100000000003</v>
      </c>
      <c r="N94" s="17">
        <f>Test!D196</f>
        <v>37.4985</v>
      </c>
      <c r="O94" s="17">
        <f>Test!E196</f>
        <v>37.625599999999999</v>
      </c>
      <c r="P94" s="17">
        <f>Test!F196</f>
        <v>9493.6567072800008</v>
      </c>
      <c r="Q94" s="17">
        <f>Test!G196</f>
        <v>6.6382749080699996</v>
      </c>
      <c r="R94" s="18">
        <f t="shared" si="13"/>
        <v>2.6371268631333336</v>
      </c>
      <c r="S94" s="13">
        <f t="shared" si="14"/>
        <v>0.99013753425743467</v>
      </c>
      <c r="T94" s="13">
        <f t="shared" si="15"/>
        <v>0.95906126506881739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110</v>
      </c>
      <c r="C95" s="24">
        <v>22</v>
      </c>
      <c r="D95" s="9">
        <f>Reference!B197</f>
        <v>11909.4264</v>
      </c>
      <c r="E95" s="10">
        <f>Reference!C197</f>
        <v>43.031599999999997</v>
      </c>
      <c r="F95" s="10">
        <f>Reference!D197</f>
        <v>45.107300000000002</v>
      </c>
      <c r="G95" s="10">
        <f>Reference!E197</f>
        <v>45.696199999999997</v>
      </c>
      <c r="H95" s="10">
        <f>Reference!F197</f>
        <v>99308.585160000002</v>
      </c>
      <c r="I95" s="10">
        <f>Reference!G197</f>
        <v>79.420794010199998</v>
      </c>
      <c r="J95" s="11">
        <f t="shared" si="12"/>
        <v>27.585718100000001</v>
      </c>
      <c r="L95" s="9">
        <f>Test!B197</f>
        <v>11909.424800000001</v>
      </c>
      <c r="M95" s="10">
        <f>Test!C197</f>
        <v>43.031599999999997</v>
      </c>
      <c r="N95" s="10">
        <f>Test!D197</f>
        <v>45.107300000000002</v>
      </c>
      <c r="O95" s="10">
        <f>Test!E197</f>
        <v>45.696199999999997</v>
      </c>
      <c r="P95" s="10">
        <f>Test!F197</f>
        <v>94190.702224499997</v>
      </c>
      <c r="Q95" s="10">
        <f>Test!G197</f>
        <v>75.775288820300005</v>
      </c>
      <c r="R95" s="11">
        <f t="shared" si="13"/>
        <v>26.164083951249999</v>
      </c>
      <c r="S95" s="13">
        <f t="shared" si="14"/>
        <v>0.94846484896291317</v>
      </c>
      <c r="T95" s="13">
        <f t="shared" si="15"/>
        <v>0.95409885741721745</v>
      </c>
      <c r="U95" s="48"/>
      <c r="V95" s="30">
        <f>bdrate($D95:$D98,E95:E98,$L95:$L98,M95:M98)</f>
        <v>-5.0634858961284834E-7</v>
      </c>
      <c r="W95" s="35">
        <f>bdrate($D95:$D98,F95:F98,$L95:$L98,N95:N98)</f>
        <v>-4.8549190279079113E-7</v>
      </c>
      <c r="X95" s="35">
        <f>bdrate($D95:$D98,G95:G98,$L95:$L98,O95:O98)</f>
        <v>-4.8497009541570435E-7</v>
      </c>
      <c r="Y95" s="33">
        <f>bdrateOld($D95:$D98,E95:E98,$L95:$L98,M95:M98)</f>
        <v>-5.0805987938939978E-7</v>
      </c>
      <c r="Z95" s="37">
        <f>bdrateOld($D95:$D98,F95:F98,$L95:$L98,N95:N98)</f>
        <v>-4.8855768253197596E-7</v>
      </c>
      <c r="AA95" s="38">
        <f>bdrateOld($D95:$D98,G95:G98,$L95:$L98,O95:O98)</f>
        <v>-4.872570162905987E-7</v>
      </c>
    </row>
    <row r="96" spans="1:27" x14ac:dyDescent="0.2">
      <c r="A96" s="25"/>
      <c r="B96" s="25"/>
      <c r="C96" s="25">
        <v>27</v>
      </c>
      <c r="D96" s="12">
        <f>Reference!B198</f>
        <v>5122.9575999999997</v>
      </c>
      <c r="E96" s="13">
        <f>Reference!C198</f>
        <v>39.67</v>
      </c>
      <c r="F96" s="13">
        <f>Reference!D198</f>
        <v>42.490900000000003</v>
      </c>
      <c r="G96" s="13">
        <f>Reference!E198</f>
        <v>42.8855</v>
      </c>
      <c r="H96" s="13">
        <f>Reference!F198</f>
        <v>68306.957779899996</v>
      </c>
      <c r="I96" s="13">
        <f>Reference!G198</f>
        <v>56.152381181700001</v>
      </c>
      <c r="J96" s="14">
        <f t="shared" si="12"/>
        <v>18.974154938861108</v>
      </c>
      <c r="L96" s="12">
        <f>Test!B198</f>
        <v>5122.9560000000001</v>
      </c>
      <c r="M96" s="13">
        <f>Test!C198</f>
        <v>39.67</v>
      </c>
      <c r="N96" s="13">
        <f>Test!D198</f>
        <v>42.490900000000003</v>
      </c>
      <c r="O96" s="13">
        <f>Test!E198</f>
        <v>42.8855</v>
      </c>
      <c r="P96" s="13">
        <f>Test!F198</f>
        <v>67365.904398900006</v>
      </c>
      <c r="Q96" s="13">
        <f>Test!G198</f>
        <v>50.375174045599998</v>
      </c>
      <c r="R96" s="14">
        <f t="shared" si="13"/>
        <v>18.712751221916669</v>
      </c>
      <c r="S96" s="13">
        <f t="shared" si="14"/>
        <v>0.98622316947517596</v>
      </c>
      <c r="T96" s="13">
        <f t="shared" si="15"/>
        <v>0.89711554497740897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Reference!B199</f>
        <v>2501.7640000000001</v>
      </c>
      <c r="E97" s="13">
        <f>Reference!C199</f>
        <v>36.773099999999999</v>
      </c>
      <c r="F97" s="13">
        <f>Reference!D199</f>
        <v>40.544199999999996</v>
      </c>
      <c r="G97" s="13">
        <f>Reference!E199</f>
        <v>40.804499999999997</v>
      </c>
      <c r="H97" s="13">
        <f>Reference!F199</f>
        <v>51583.223952</v>
      </c>
      <c r="I97" s="13">
        <f>Reference!G199</f>
        <v>45.582279920600001</v>
      </c>
      <c r="J97" s="14">
        <f t="shared" si="12"/>
        <v>14.32867332</v>
      </c>
      <c r="L97" s="12">
        <f>Test!B199</f>
        <v>2501.7624000000001</v>
      </c>
      <c r="M97" s="13">
        <f>Test!C199</f>
        <v>36.773099999999999</v>
      </c>
      <c r="N97" s="13">
        <f>Test!D199</f>
        <v>40.544199999999996</v>
      </c>
      <c r="O97" s="13">
        <f>Test!E199</f>
        <v>40.804499999999997</v>
      </c>
      <c r="P97" s="13">
        <f>Test!F199</f>
        <v>51160.514356400003</v>
      </c>
      <c r="Q97" s="13">
        <f>Test!G199</f>
        <v>43.141035795199997</v>
      </c>
      <c r="R97" s="14">
        <f t="shared" si="13"/>
        <v>14.21125398788889</v>
      </c>
      <c r="S97" s="13">
        <f t="shared" si="14"/>
        <v>0.99180528933218015</v>
      </c>
      <c r="T97" s="13">
        <f t="shared" si="15"/>
        <v>0.94644313251438017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Reference!B200</f>
        <v>1251.8047999999999</v>
      </c>
      <c r="E98" s="17">
        <f>Reference!C200</f>
        <v>34.042499999999997</v>
      </c>
      <c r="F98" s="17">
        <f>Reference!D200</f>
        <v>38.729199999999999</v>
      </c>
      <c r="G98" s="17">
        <f>Reference!E200</f>
        <v>38.862299999999998</v>
      </c>
      <c r="H98" s="17">
        <f>Reference!F200</f>
        <v>37500.131451399997</v>
      </c>
      <c r="I98" s="17">
        <f>Reference!G200</f>
        <v>36.090596914300001</v>
      </c>
      <c r="J98" s="18">
        <f t="shared" si="12"/>
        <v>10.416703180944443</v>
      </c>
      <c r="L98" s="16">
        <f>Test!B200</f>
        <v>1251.8032000000001</v>
      </c>
      <c r="M98" s="17">
        <f>Test!C200</f>
        <v>34.042499999999997</v>
      </c>
      <c r="N98" s="17">
        <f>Test!D200</f>
        <v>38.729199999999999</v>
      </c>
      <c r="O98" s="17">
        <f>Test!E200</f>
        <v>38.862299999999998</v>
      </c>
      <c r="P98" s="17">
        <f>Test!F200</f>
        <v>37106.877003699999</v>
      </c>
      <c r="Q98" s="17">
        <f>Test!G200</f>
        <v>35.702543973899999</v>
      </c>
      <c r="R98" s="18">
        <f t="shared" si="13"/>
        <v>10.307465834361111</v>
      </c>
      <c r="S98" s="13">
        <f t="shared" si="14"/>
        <v>0.98951325148794067</v>
      </c>
      <c r="T98" s="13">
        <f t="shared" si="15"/>
        <v>0.98924781041107568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83</v>
      </c>
      <c r="C99" s="24">
        <v>22</v>
      </c>
      <c r="D99" s="9">
        <f>Reference!B201</f>
        <v>1269.5152</v>
      </c>
      <c r="E99" s="10">
        <f>Reference!C201</f>
        <v>50.044800000000002</v>
      </c>
      <c r="F99" s="10">
        <f>Reference!D201</f>
        <v>48.080199999999998</v>
      </c>
      <c r="G99" s="10">
        <f>Reference!E201</f>
        <v>48.286499999999997</v>
      </c>
      <c r="H99" s="10">
        <f>Reference!F201</f>
        <v>4334.0979049199996</v>
      </c>
      <c r="I99" s="10">
        <f>Reference!G201</f>
        <v>6.9462909698499997</v>
      </c>
      <c r="J99" s="11">
        <f t="shared" si="12"/>
        <v>1.2039160846999999</v>
      </c>
      <c r="L99" s="9">
        <f>Test!B201</f>
        <v>1269.5136</v>
      </c>
      <c r="M99" s="10">
        <f>Test!C201</f>
        <v>50.044800000000002</v>
      </c>
      <c r="N99" s="10">
        <f>Test!D201</f>
        <v>48.080199999999998</v>
      </c>
      <c r="O99" s="10">
        <f>Test!E201</f>
        <v>48.286499999999997</v>
      </c>
      <c r="P99" s="10">
        <f>Test!F201</f>
        <v>4271.1553666600003</v>
      </c>
      <c r="Q99" s="10">
        <f>Test!G201</f>
        <v>6.7953231334700002</v>
      </c>
      <c r="R99" s="11">
        <f t="shared" si="13"/>
        <v>1.1864320462944444</v>
      </c>
      <c r="S99" s="13">
        <f t="shared" si="14"/>
        <v>0.98547736123160767</v>
      </c>
      <c r="T99" s="13">
        <f t="shared" si="15"/>
        <v>0.97826641051529983</v>
      </c>
      <c r="U99" s="48"/>
      <c r="V99" s="30">
        <f>bdrate($D99:$D102,E99:E102,$L99:$L102,M99:M102)</f>
        <v>-1.9791619552123052E-6</v>
      </c>
      <c r="W99" s="35">
        <f>bdrate($D99:$D102,F99:F102,$L99:$L102,N99:N102)</f>
        <v>-1.7772661505821574E-6</v>
      </c>
      <c r="X99" s="35">
        <f>bdrate($D99:$D102,G99:G102,$L99:$L102,O99:O102)</f>
        <v>-1.7728604793099123E-6</v>
      </c>
      <c r="Y99" s="33">
        <f>bdrateOld($D99:$D102,E99:E102,$L99:$L102,M99:M102)</f>
        <v>-1.9785407705530389E-6</v>
      </c>
      <c r="Z99" s="37">
        <f>bdrateOld($D99:$D102,F99:F102,$L99:$L102,N99:N102)</f>
        <v>-1.8022807423134779E-6</v>
      </c>
      <c r="AA99" s="38">
        <f>bdrateOld($D99:$D102,G99:G102,$L99:$L102,O99:O102)</f>
        <v>-1.7986612539377944E-6</v>
      </c>
    </row>
    <row r="100" spans="1:27" x14ac:dyDescent="0.2">
      <c r="A100" s="25"/>
      <c r="B100" s="25"/>
      <c r="C100" s="25">
        <v>27</v>
      </c>
      <c r="D100" s="12">
        <f>Reference!B202</f>
        <v>957.40959999999995</v>
      </c>
      <c r="E100" s="13">
        <f>Reference!C202</f>
        <v>45.833399999999997</v>
      </c>
      <c r="F100" s="13">
        <f>Reference!D202</f>
        <v>43.530700000000003</v>
      </c>
      <c r="G100" s="13">
        <f>Reference!E202</f>
        <v>44.139600000000002</v>
      </c>
      <c r="H100" s="13">
        <f>Reference!F202</f>
        <v>3721.6219379899999</v>
      </c>
      <c r="I100" s="13">
        <f>Reference!G202</f>
        <v>6.7808730602300002</v>
      </c>
      <c r="J100" s="14">
        <f t="shared" si="12"/>
        <v>1.033783871663889</v>
      </c>
      <c r="L100" s="12">
        <f>Test!B202</f>
        <v>957.40800000000002</v>
      </c>
      <c r="M100" s="13">
        <f>Test!C202</f>
        <v>45.833399999999997</v>
      </c>
      <c r="N100" s="13">
        <f>Test!D202</f>
        <v>43.530700000000003</v>
      </c>
      <c r="O100" s="13">
        <f>Test!E202</f>
        <v>44.139600000000002</v>
      </c>
      <c r="P100" s="13">
        <f>Test!F202</f>
        <v>3676.5140874399999</v>
      </c>
      <c r="Q100" s="13">
        <f>Test!G202</f>
        <v>6.3936569690700003</v>
      </c>
      <c r="R100" s="14">
        <f t="shared" si="13"/>
        <v>1.0212539131777778</v>
      </c>
      <c r="S100" s="13">
        <f t="shared" si="14"/>
        <v>0.98787951831174925</v>
      </c>
      <c r="T100" s="13">
        <f t="shared" si="15"/>
        <v>0.94289583542994893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Reference!B203</f>
        <v>739.46320000000003</v>
      </c>
      <c r="E101" s="13">
        <f>Reference!C203</f>
        <v>41.294699999999999</v>
      </c>
      <c r="F101" s="13">
        <f>Reference!D203</f>
        <v>40.659799999999997</v>
      </c>
      <c r="G101" s="13">
        <f>Reference!E203</f>
        <v>41.555999999999997</v>
      </c>
      <c r="H101" s="13">
        <f>Reference!F203</f>
        <v>3310.3394288999998</v>
      </c>
      <c r="I101" s="13">
        <f>Reference!G203</f>
        <v>6.3876788616200004</v>
      </c>
      <c r="J101" s="14">
        <f t="shared" si="12"/>
        <v>0.91953873024999999</v>
      </c>
      <c r="L101" s="12">
        <f>Test!B203</f>
        <v>739.46159999999998</v>
      </c>
      <c r="M101" s="13">
        <f>Test!C203</f>
        <v>41.294699999999999</v>
      </c>
      <c r="N101" s="13">
        <f>Test!D203</f>
        <v>40.659799999999997</v>
      </c>
      <c r="O101" s="13">
        <f>Test!E203</f>
        <v>41.555999999999997</v>
      </c>
      <c r="P101" s="13">
        <f>Test!F203</f>
        <v>3257.84421015</v>
      </c>
      <c r="Q101" s="13">
        <f>Test!G203</f>
        <v>6.4260411262500003</v>
      </c>
      <c r="R101" s="14">
        <f t="shared" si="13"/>
        <v>0.90495672504166669</v>
      </c>
      <c r="S101" s="13">
        <f t="shared" si="14"/>
        <v>0.98414204347393963</v>
      </c>
      <c r="T101" s="13">
        <f t="shared" si="15"/>
        <v>1.0060056658233865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Reference!B204</f>
        <v>562.19119999999998</v>
      </c>
      <c r="E102" s="17">
        <f>Reference!C204</f>
        <v>36.428800000000003</v>
      </c>
      <c r="F102" s="17">
        <f>Reference!D204</f>
        <v>38.872500000000002</v>
      </c>
      <c r="G102" s="17">
        <f>Reference!E204</f>
        <v>39.9666</v>
      </c>
      <c r="H102" s="17">
        <f>Reference!F204</f>
        <v>2977.4853165200002</v>
      </c>
      <c r="I102" s="17">
        <f>Reference!G204</f>
        <v>5.9552669525099997</v>
      </c>
      <c r="J102" s="18">
        <f t="shared" si="12"/>
        <v>0.82707925458888898</v>
      </c>
      <c r="L102" s="16">
        <f>Test!B204</f>
        <v>562.18960000000004</v>
      </c>
      <c r="M102" s="17">
        <f>Test!C204</f>
        <v>36.428800000000003</v>
      </c>
      <c r="N102" s="17">
        <f>Test!D204</f>
        <v>38.872500000000002</v>
      </c>
      <c r="O102" s="17">
        <f>Test!E204</f>
        <v>39.9666</v>
      </c>
      <c r="P102" s="17">
        <f>Test!F204</f>
        <v>2938.4272432299999</v>
      </c>
      <c r="Q102" s="17">
        <f>Test!G204</f>
        <v>5.5869059562699999</v>
      </c>
      <c r="R102" s="18">
        <f t="shared" si="13"/>
        <v>0.81622978978611105</v>
      </c>
      <c r="S102" s="13">
        <f t="shared" si="14"/>
        <v>0.98688219449033243</v>
      </c>
      <c r="T102" s="13">
        <f t="shared" si="15"/>
        <v>0.93814534273988426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84</v>
      </c>
      <c r="C103" s="24">
        <v>22</v>
      </c>
      <c r="D103" s="9">
        <f>Reference!B205</f>
        <v>694.71619999999996</v>
      </c>
      <c r="E103" s="10">
        <f>Reference!C205</f>
        <v>52.062399999999997</v>
      </c>
      <c r="F103" s="10">
        <f>Reference!D205</f>
        <v>55.270499999999998</v>
      </c>
      <c r="G103" s="10">
        <f>Reference!E205</f>
        <v>56.278799999999997</v>
      </c>
      <c r="H103" s="10">
        <f>Reference!F205</f>
        <v>12015.546579100001</v>
      </c>
      <c r="I103" s="10">
        <f>Reference!G205</f>
        <v>15.0380840302</v>
      </c>
      <c r="J103" s="11">
        <f t="shared" si="12"/>
        <v>3.337651827527778</v>
      </c>
      <c r="L103" s="9">
        <f>Test!B205</f>
        <v>694.71550000000002</v>
      </c>
      <c r="M103" s="10">
        <f>Test!C205</f>
        <v>52.062399999999997</v>
      </c>
      <c r="N103" s="10">
        <f>Test!D205</f>
        <v>55.270499999999998</v>
      </c>
      <c r="O103" s="10">
        <f>Test!E205</f>
        <v>56.278799999999997</v>
      </c>
      <c r="P103" s="10">
        <f>Test!F205</f>
        <v>11827.8180068</v>
      </c>
      <c r="Q103" s="10">
        <f>Test!G205</f>
        <v>14.583040952699999</v>
      </c>
      <c r="R103" s="11">
        <f t="shared" si="13"/>
        <v>3.2855050018888887</v>
      </c>
      <c r="S103" s="13">
        <f t="shared" si="14"/>
        <v>0.98437619370336948</v>
      </c>
      <c r="T103" s="13">
        <f t="shared" si="15"/>
        <v>0.96974062143912965</v>
      </c>
      <c r="U103" s="48"/>
      <c r="V103" s="30">
        <f>bdrate($D103:$D106,E103:E106,$L103:$L106,M103:M106)</f>
        <v>-2.0932957150998632E-6</v>
      </c>
      <c r="W103" s="35">
        <f>bdrate($D103:$D106,F103:F106,$L103:$L106,N103:N106)</f>
        <v>-2.018622808130921E-6</v>
      </c>
      <c r="X103" s="35">
        <f>bdrate($D103:$D106,G103:G106,$L103:$L106,O103:O106)</f>
        <v>-1.9573366170089201E-6</v>
      </c>
      <c r="Y103" s="33">
        <f>bdrateOld($D103:$D106,E103:E106,$L103:$L106,M103:M106)</f>
        <v>-2.0881300424324678E-6</v>
      </c>
      <c r="Z103" s="37">
        <f>bdrateOld($D103:$D106,F103:F106,$L103:$L106,N103:N106)</f>
        <v>-2.0065004139313558E-6</v>
      </c>
      <c r="AA103" s="38">
        <f>bdrateOld($D103:$D106,G103:G106,$L103:$L106,O103:O106)</f>
        <v>-1.9437850844461479E-6</v>
      </c>
    </row>
    <row r="104" spans="1:27" x14ac:dyDescent="0.2">
      <c r="A104" s="25"/>
      <c r="B104" s="25"/>
      <c r="C104" s="25">
        <v>27</v>
      </c>
      <c r="D104" s="12">
        <f>Reference!B206</f>
        <v>409.279</v>
      </c>
      <c r="E104" s="13">
        <f>Reference!C206</f>
        <v>48.136400000000002</v>
      </c>
      <c r="F104" s="13">
        <f>Reference!D206</f>
        <v>52.3352</v>
      </c>
      <c r="G104" s="13">
        <f>Reference!E206</f>
        <v>53.460299999999997</v>
      </c>
      <c r="H104" s="13">
        <f>Reference!F206</f>
        <v>9608.8985471699998</v>
      </c>
      <c r="I104" s="13">
        <f>Reference!G206</f>
        <v>13.7345740795</v>
      </c>
      <c r="J104" s="14">
        <f t="shared" si="12"/>
        <v>2.669138485325</v>
      </c>
      <c r="L104" s="12">
        <f>Test!B206</f>
        <v>409.27839999999998</v>
      </c>
      <c r="M104" s="13">
        <f>Test!C206</f>
        <v>48.136400000000002</v>
      </c>
      <c r="N104" s="13">
        <f>Test!D206</f>
        <v>52.3352</v>
      </c>
      <c r="O104" s="13">
        <f>Test!E206</f>
        <v>53.460299999999997</v>
      </c>
      <c r="P104" s="13">
        <f>Test!F206</f>
        <v>9460.3283326599994</v>
      </c>
      <c r="Q104" s="13">
        <f>Test!G206</f>
        <v>12.4538700581</v>
      </c>
      <c r="R104" s="14">
        <f t="shared" si="13"/>
        <v>2.6278689812944442</v>
      </c>
      <c r="S104" s="13">
        <f t="shared" si="14"/>
        <v>0.98453826796269417</v>
      </c>
      <c r="T104" s="13">
        <f t="shared" si="15"/>
        <v>0.9067532772412974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Reference!B207</f>
        <v>259.95139999999998</v>
      </c>
      <c r="E105" s="13">
        <f>Reference!C207</f>
        <v>44.5777</v>
      </c>
      <c r="F105" s="13">
        <f>Reference!D207</f>
        <v>49.864100000000001</v>
      </c>
      <c r="G105" s="13">
        <f>Reference!E207</f>
        <v>51.073799999999999</v>
      </c>
      <c r="H105" s="13">
        <f>Reference!F207</f>
        <v>7427.7933266199998</v>
      </c>
      <c r="I105" s="13">
        <f>Reference!G207</f>
        <v>13.4299030304</v>
      </c>
      <c r="J105" s="14">
        <f t="shared" si="12"/>
        <v>2.0632759240611112</v>
      </c>
      <c r="L105" s="12">
        <f>Test!B207</f>
        <v>259.95069999999998</v>
      </c>
      <c r="M105" s="13">
        <f>Test!C207</f>
        <v>44.5777</v>
      </c>
      <c r="N105" s="13">
        <f>Test!D207</f>
        <v>49.864100000000001</v>
      </c>
      <c r="O105" s="13">
        <f>Test!E207</f>
        <v>51.073799999999999</v>
      </c>
      <c r="P105" s="13">
        <f>Test!F207</f>
        <v>7341.6786453699997</v>
      </c>
      <c r="Q105" s="13">
        <f>Test!G207</f>
        <v>11.616676092100001</v>
      </c>
      <c r="R105" s="14">
        <f t="shared" si="13"/>
        <v>2.0393551792694442</v>
      </c>
      <c r="S105" s="13">
        <f t="shared" si="14"/>
        <v>0.98840642469932771</v>
      </c>
      <c r="T105" s="13">
        <f t="shared" si="15"/>
        <v>0.86498585029277053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Reference!B208</f>
        <v>167.11070000000001</v>
      </c>
      <c r="E106" s="17">
        <f>Reference!C208</f>
        <v>41.054099999999998</v>
      </c>
      <c r="F106" s="17">
        <f>Reference!D208</f>
        <v>47.695999999999998</v>
      </c>
      <c r="G106" s="17">
        <f>Reference!E208</f>
        <v>49.327599999999997</v>
      </c>
      <c r="H106" s="17">
        <f>Reference!F208</f>
        <v>5763.6436226400001</v>
      </c>
      <c r="I106" s="17">
        <f>Reference!G208</f>
        <v>11.964974164999999</v>
      </c>
      <c r="J106" s="18">
        <f t="shared" si="12"/>
        <v>1.6010121174</v>
      </c>
      <c r="L106" s="16">
        <f>Test!B208</f>
        <v>167.11009999999999</v>
      </c>
      <c r="M106" s="17">
        <f>Test!C208</f>
        <v>41.054099999999998</v>
      </c>
      <c r="N106" s="17">
        <f>Test!D208</f>
        <v>47.695999999999998</v>
      </c>
      <c r="O106" s="17">
        <f>Test!E208</f>
        <v>49.327599999999997</v>
      </c>
      <c r="P106" s="17">
        <f>Test!F208</f>
        <v>5689.0199592099998</v>
      </c>
      <c r="Q106" s="17">
        <f>Test!G208</f>
        <v>10.858757972699999</v>
      </c>
      <c r="R106" s="18">
        <f t="shared" si="13"/>
        <v>1.5802833220027777</v>
      </c>
      <c r="S106" s="17">
        <f t="shared" si="14"/>
        <v>0.98705269299842324</v>
      </c>
      <c r="T106" s="17">
        <f t="shared" si="15"/>
        <v>0.90754545918403162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10</v>
      </c>
      <c r="I107" s="48">
        <f>GEOMEAN(I3:I14)</f>
        <v>122.03379771548794</v>
      </c>
      <c r="J107" s="48">
        <f>GEOMEAN(J3:J14)</f>
        <v>52.842118571148433</v>
      </c>
      <c r="Q107" s="48">
        <f>GEOMEAN(Q3:Q14)</f>
        <v>158.42559943441614</v>
      </c>
      <c r="R107" s="48">
        <f>GEOMEAN(R3:R14)</f>
        <v>58.785569252871966</v>
      </c>
      <c r="S107" s="48">
        <f>GEOMEAN(S3:S14)</f>
        <v>1.1124756319851381</v>
      </c>
      <c r="T107" s="48">
        <f>GEOMEAN(T3:T14)</f>
        <v>1.298210843226995</v>
      </c>
      <c r="V107" s="30">
        <f t="shared" ref="V107:AA107" si="16">AVERAGE(V3:V14)</f>
        <v>2.1386197849674695E-6</v>
      </c>
      <c r="W107" s="35">
        <f t="shared" si="16"/>
        <v>-7.7498678821378651E-6</v>
      </c>
      <c r="X107" s="35">
        <f t="shared" si="16"/>
        <v>9.791601458234803E-6</v>
      </c>
      <c r="Y107" s="30">
        <f t="shared" si="16"/>
        <v>1.6952334752629028E-6</v>
      </c>
      <c r="Z107" s="35">
        <f t="shared" si="16"/>
        <v>-8.7748287375492371E-6</v>
      </c>
      <c r="AA107" s="36">
        <f t="shared" si="16"/>
        <v>9.9309096283084486E-6</v>
      </c>
    </row>
    <row r="108" spans="1:27" x14ac:dyDescent="0.2">
      <c r="B108" s="15" t="s">
        <v>11</v>
      </c>
      <c r="I108" s="48">
        <f>GEOMEAN(I15:I26)</f>
        <v>134.30045444173882</v>
      </c>
      <c r="J108" s="48">
        <f>GEOMEAN(J15:J26)</f>
        <v>48.700144580955502</v>
      </c>
      <c r="Q108" s="48">
        <f>GEOMEAN(Q15:Q26)</f>
        <v>180.3167001628847</v>
      </c>
      <c r="R108" s="48">
        <f>GEOMEAN(R15:R26)</f>
        <v>55.143962650240894</v>
      </c>
      <c r="S108" s="48">
        <f>GEOMEAN(S15:S26)</f>
        <v>1.132316199977059</v>
      </c>
      <c r="T108" s="48">
        <f>GEOMEAN(T15:T26)</f>
        <v>1.3426365600356795</v>
      </c>
      <c r="V108" s="33">
        <f t="shared" ref="V108:AA108" si="17">AVERAGE(V15:V26)</f>
        <v>-7.1524088181007528E-6</v>
      </c>
      <c r="W108" s="37">
        <f t="shared" si="17"/>
        <v>1.1091016490993866E-5</v>
      </c>
      <c r="X108" s="37">
        <f t="shared" si="17"/>
        <v>7.6730331829052058E-6</v>
      </c>
      <c r="Y108" s="33">
        <f t="shared" si="17"/>
        <v>-7.8100216341544151E-6</v>
      </c>
      <c r="Z108" s="37">
        <f t="shared" si="17"/>
        <v>1.1429596791382815E-5</v>
      </c>
      <c r="AA108" s="38">
        <f t="shared" si="17"/>
        <v>6.3665310425416637E-6</v>
      </c>
    </row>
    <row r="109" spans="1:27" x14ac:dyDescent="0.2">
      <c r="B109" s="15" t="s">
        <v>12</v>
      </c>
      <c r="I109" s="48">
        <f>GEOMEAN(I27:I46)</f>
        <v>56.742847341667492</v>
      </c>
      <c r="J109" s="48">
        <f>GEOMEAN(J27:J46)</f>
        <v>21.007312287785954</v>
      </c>
      <c r="Q109" s="48">
        <f>GEOMEAN(Q27:Q46)</f>
        <v>75.41450292466773</v>
      </c>
      <c r="R109" s="48">
        <f>GEOMEAN(R27:R46)</f>
        <v>23.922622304473563</v>
      </c>
      <c r="S109" s="48">
        <f>GEOMEAN(S27:S46)</f>
        <v>1.1387759641380981</v>
      </c>
      <c r="T109" s="48">
        <f>GEOMEAN(T27:T46)</f>
        <v>1.3290574311608301</v>
      </c>
      <c r="V109" s="33">
        <f t="shared" ref="V109:AA109" si="18">AVERAGE(V27:V46)</f>
        <v>1.7425798753967214E-6</v>
      </c>
      <c r="W109" s="37">
        <f t="shared" si="18"/>
        <v>-1.5942752761066713E-6</v>
      </c>
      <c r="X109" s="37">
        <f t="shared" si="18"/>
        <v>-1.1209822576541128E-5</v>
      </c>
      <c r="Y109" s="33">
        <f t="shared" si="18"/>
        <v>2.7479344423486652E-6</v>
      </c>
      <c r="Z109" s="37">
        <f t="shared" si="18"/>
        <v>-2.1411660572567826E-6</v>
      </c>
      <c r="AA109" s="38">
        <f t="shared" si="18"/>
        <v>-1.0892273148521703E-5</v>
      </c>
    </row>
    <row r="110" spans="1:27" x14ac:dyDescent="0.2">
      <c r="B110" s="15" t="s">
        <v>13</v>
      </c>
      <c r="I110" s="48">
        <f>GEOMEAN(I47:I62)</f>
        <v>10.728118271077776</v>
      </c>
      <c r="J110" s="48">
        <f>GEOMEAN(J47:J62)</f>
        <v>4.2301541964491074</v>
      </c>
      <c r="Q110" s="48">
        <f>GEOMEAN(Q47:Q62)</f>
        <v>13.795897932655564</v>
      </c>
      <c r="R110" s="48">
        <f>GEOMEAN(R47:R62)</f>
        <v>4.7882217095460575</v>
      </c>
      <c r="S110" s="48">
        <f>GEOMEAN(S47:S62)</f>
        <v>1.131926045051834</v>
      </c>
      <c r="T110" s="48">
        <f>GEOMEAN(T47:T62)</f>
        <v>1.2859569203154946</v>
      </c>
      <c r="V110" s="33">
        <f t="shared" ref="V110:AA110" si="19">AVERAGE(V47:V62)</f>
        <v>4.066208347364153E-6</v>
      </c>
      <c r="W110" s="37">
        <f t="shared" si="19"/>
        <v>5.8649527997778339E-6</v>
      </c>
      <c r="X110" s="37">
        <f t="shared" si="19"/>
        <v>2.3325852473166098E-6</v>
      </c>
      <c r="Y110" s="33">
        <f t="shared" si="19"/>
        <v>3.9343019986037842E-6</v>
      </c>
      <c r="Z110" s="37">
        <f t="shared" si="19"/>
        <v>6.6910297648048456E-6</v>
      </c>
      <c r="AA110" s="38">
        <f t="shared" si="19"/>
        <v>1.5864662165077092E-6</v>
      </c>
    </row>
    <row r="111" spans="1:27" x14ac:dyDescent="0.2">
      <c r="B111" s="15" t="s">
        <v>17</v>
      </c>
      <c r="I111" s="48">
        <f>GEOMEAN(I63:I78)</f>
        <v>0.15156018660573428</v>
      </c>
      <c r="J111" s="48">
        <f>GEOMEAN(J63:J78)</f>
        <v>4.2932490583324108E-2</v>
      </c>
      <c r="Q111" s="48">
        <f>GEOMEAN(Q63:Q78)</f>
        <v>0.1454840060153991</v>
      </c>
      <c r="R111" s="48">
        <f>GEOMEAN(R63:R78)</f>
        <v>4.1612617164783768E-2</v>
      </c>
      <c r="S111" s="48">
        <f>GEOMEAN(S63:S78)</f>
        <v>0.96925700324842068</v>
      </c>
      <c r="T111" s="48">
        <f>GEOMEAN(T63:T78)</f>
        <v>0.95990912437880771</v>
      </c>
      <c r="V111" s="33">
        <f t="shared" ref="V111:AA111" si="20">AVERAGE(V63:V78)</f>
        <v>1.7852685124916834E-2</v>
      </c>
      <c r="W111" s="37">
        <f t="shared" si="20"/>
        <v>3.0870956143550066E-2</v>
      </c>
      <c r="X111" s="37">
        <f t="shared" si="20"/>
        <v>2.9259497835920523E-2</v>
      </c>
      <c r="Y111" s="33">
        <f t="shared" si="20"/>
        <v>1.7798657056786293E-2</v>
      </c>
      <c r="Z111" s="37">
        <f t="shared" si="20"/>
        <v>3.3165786640056871E-2</v>
      </c>
      <c r="AA111" s="38">
        <f t="shared" si="20"/>
        <v>2.992148200231759E-2</v>
      </c>
    </row>
    <row r="112" spans="1:27" x14ac:dyDescent="0.2">
      <c r="B112" s="15" t="s">
        <v>14</v>
      </c>
      <c r="I112" s="48"/>
      <c r="J112" s="48"/>
      <c r="Q112" s="48"/>
      <c r="R112" s="48"/>
      <c r="S112" s="48"/>
      <c r="T112" s="48"/>
      <c r="V112" s="33"/>
      <c r="W112" s="37"/>
      <c r="X112" s="37"/>
      <c r="Y112" s="33"/>
      <c r="Z112" s="37"/>
      <c r="AA112" s="38"/>
    </row>
    <row r="113" spans="1:27" ht="12.75" customHeight="1" thickBot="1" x14ac:dyDescent="0.25">
      <c r="B113" s="15" t="s">
        <v>103</v>
      </c>
      <c r="I113" s="48">
        <f>GEOMEAN(I91:I106)</f>
        <v>14.80620166722735</v>
      </c>
      <c r="J113" s="48">
        <f>GEOMEAN(J91:J106)</f>
        <v>3.6165934476441843</v>
      </c>
      <c r="Q113" s="48">
        <f>GEOMEAN(Q91:Q106)</f>
        <v>13.696531527824565</v>
      </c>
      <c r="R113" s="48">
        <f>GEOMEAN(R91:R106)</f>
        <v>3.5554752054693837</v>
      </c>
      <c r="S113" s="48">
        <f>GEOMEAN(S91:S106)</f>
        <v>0.98310060473769523</v>
      </c>
      <c r="T113" s="48">
        <f>GEOMEAN(T91:T106)</f>
        <v>0.92505369274694027</v>
      </c>
      <c r="V113" s="33">
        <f t="shared" ref="V113:AA113" si="21">AVERAGE(V91:V106)</f>
        <v>-1.5757079757094949E-6</v>
      </c>
      <c r="W113" s="37">
        <f t="shared" si="21"/>
        <v>-1.4861164122637049E-6</v>
      </c>
      <c r="X113" s="37">
        <f t="shared" si="21"/>
        <v>-1.4632754091470357E-6</v>
      </c>
      <c r="Y113" s="33">
        <f t="shared" si="21"/>
        <v>-1.5759525432978982E-6</v>
      </c>
      <c r="Z113" s="37">
        <f t="shared" si="21"/>
        <v>-1.4928008537362647E-6</v>
      </c>
      <c r="AA113" s="38">
        <f t="shared" si="21"/>
        <v>-1.4705934865966164E-6</v>
      </c>
    </row>
    <row r="114" spans="1:27" ht="12.75" customHeight="1" thickBot="1" x14ac:dyDescent="0.25">
      <c r="A114" s="1"/>
      <c r="B114" s="2" t="s">
        <v>104</v>
      </c>
      <c r="C114" s="2"/>
      <c r="D114" s="2"/>
      <c r="E114" s="2"/>
      <c r="F114" s="2"/>
      <c r="G114" s="2"/>
      <c r="H114" s="2"/>
      <c r="I114" s="50">
        <f>GEOMEAN(I3:I62,I79:I90)</f>
        <v>50.391216649944546</v>
      </c>
      <c r="J114" s="50">
        <f>GEOMEAN(J3:J62,J79:J90)</f>
        <v>19.494880518423667</v>
      </c>
      <c r="K114" s="2"/>
      <c r="L114" s="2"/>
      <c r="M114" s="2"/>
      <c r="N114" s="2"/>
      <c r="O114" s="2"/>
      <c r="P114" s="2"/>
      <c r="Q114" s="50">
        <f>GEOMEAN(Q3:Q62,Q79:Q90)</f>
        <v>66.21004438385458</v>
      </c>
      <c r="R114" s="50">
        <f>GEOMEAN(R3:R62,R79:R90)</f>
        <v>22.036187961761506</v>
      </c>
      <c r="S114" s="50">
        <f>GEOMEAN(S3:S62,S79:S90)</f>
        <v>1.1303576824149382</v>
      </c>
      <c r="T114" s="50">
        <f>GEOMEAN(T3:T62,T79:T90)</f>
        <v>1.3139203374230781</v>
      </c>
      <c r="U114" s="2"/>
      <c r="V114" s="34" t="e">
        <f t="shared" ref="V114:AA114" si="22">AVERAGE(V3:V62,V79:V90)</f>
        <v>#VALUE!</v>
      </c>
      <c r="W114" s="39" t="e">
        <f t="shared" si="22"/>
        <v>#VALUE!</v>
      </c>
      <c r="X114" s="39" t="e">
        <f t="shared" si="22"/>
        <v>#VALUE!</v>
      </c>
      <c r="Y114" s="34" t="e">
        <f t="shared" si="22"/>
        <v>#VALUE!</v>
      </c>
      <c r="Z114" s="39" t="e">
        <f t="shared" si="22"/>
        <v>#VALUE!</v>
      </c>
      <c r="AA114" s="40" t="e">
        <f t="shared" si="22"/>
        <v>#VALUE!</v>
      </c>
    </row>
    <row r="115" spans="1:27" x14ac:dyDescent="0.2">
      <c r="B115" s="15" t="s">
        <v>105</v>
      </c>
      <c r="I115" s="81">
        <f>GEOMEAN(I3:I106)</f>
        <v>14.834738855906615</v>
      </c>
      <c r="J115" s="81">
        <f>GEOMEAN(J3:J106)</f>
        <v>5.0184755875939135</v>
      </c>
      <c r="Q115" s="81">
        <f>GEOMEAN(Q3:Q106)</f>
        <v>17.363333739439291</v>
      </c>
      <c r="R115" s="81">
        <f>GEOMEAN(R3:R106)</f>
        <v>5.3905375625798868</v>
      </c>
      <c r="S115" s="81"/>
      <c r="T115" s="81"/>
    </row>
    <row r="116" spans="1:27" x14ac:dyDescent="0.2">
      <c r="B116" s="15" t="s">
        <v>106</v>
      </c>
      <c r="Q116" s="19">
        <f>Q115/I115</f>
        <v>1.1704509198371151</v>
      </c>
      <c r="R116" s="19">
        <f>R115/J115</f>
        <v>1.074138444731253</v>
      </c>
      <c r="S116" s="19"/>
      <c r="T116" s="19"/>
    </row>
    <row r="117" spans="1:27" x14ac:dyDescent="0.2">
      <c r="B117" s="15" t="s">
        <v>107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8" type="noConversion"/>
  <conditionalFormatting sqref="AA7">
    <cfRule type="cellIs" dxfId="713" priority="533" operator="greaterThan">
      <formula>0.03</formula>
    </cfRule>
    <cfRule type="cellIs" dxfId="712" priority="534" stopIfTrue="1" operator="lessThan">
      <formula>-0.03</formula>
    </cfRule>
  </conditionalFormatting>
  <conditionalFormatting sqref="Z11">
    <cfRule type="cellIs" dxfId="711" priority="529" operator="greaterThan">
      <formula>0.03</formula>
    </cfRule>
    <cfRule type="cellIs" dxfId="710" priority="530" stopIfTrue="1" operator="lessThan">
      <formula>-0.03</formula>
    </cfRule>
  </conditionalFormatting>
  <conditionalFormatting sqref="Y6:Z6">
    <cfRule type="cellIs" dxfId="709" priority="519" operator="greaterThan">
      <formula>0.03</formula>
    </cfRule>
    <cfRule type="cellIs" dxfId="708" priority="520" stopIfTrue="1" operator="lessThan">
      <formula>-0.03</formula>
    </cfRule>
  </conditionalFormatting>
  <conditionalFormatting sqref="Y14:Z14">
    <cfRule type="cellIs" dxfId="707" priority="515" operator="greaterThan">
      <formula>0.03</formula>
    </cfRule>
    <cfRule type="cellIs" dxfId="706" priority="516" stopIfTrue="1" operator="lessThan">
      <formula>-0.03</formula>
    </cfRule>
  </conditionalFormatting>
  <conditionalFormatting sqref="V114:AA114">
    <cfRule type="cellIs" dxfId="705" priority="471" operator="greaterThan">
      <formula>0.03</formula>
    </cfRule>
    <cfRule type="cellIs" dxfId="704" priority="472" stopIfTrue="1" operator="lessThan">
      <formula>-0.03</formula>
    </cfRule>
  </conditionalFormatting>
  <conditionalFormatting sqref="Y23">
    <cfRule type="cellIs" dxfId="703" priority="433" operator="greaterThan">
      <formula>0.03</formula>
    </cfRule>
    <cfRule type="cellIs" dxfId="702" priority="434" stopIfTrue="1" operator="lessThan">
      <formula>-0.03</formula>
    </cfRule>
  </conditionalFormatting>
  <conditionalFormatting sqref="Z19">
    <cfRule type="cellIs" dxfId="701" priority="437" operator="greaterThan">
      <formula>0.03</formula>
    </cfRule>
    <cfRule type="cellIs" dxfId="700" priority="438" stopIfTrue="1" operator="lessThan">
      <formula>-0.03</formula>
    </cfRule>
  </conditionalFormatting>
  <conditionalFormatting sqref="AA19">
    <cfRule type="cellIs" dxfId="699" priority="435" operator="greaterThan">
      <formula>0.03</formula>
    </cfRule>
    <cfRule type="cellIs" dxfId="698" priority="436" stopIfTrue="1" operator="lessThan">
      <formula>-0.03</formula>
    </cfRule>
  </conditionalFormatting>
  <conditionalFormatting sqref="Z35">
    <cfRule type="cellIs" dxfId="697" priority="343" operator="greaterThan">
      <formula>0.03</formula>
    </cfRule>
    <cfRule type="cellIs" dxfId="696" priority="344" stopIfTrue="1" operator="lessThan">
      <formula>-0.03</formula>
    </cfRule>
  </conditionalFormatting>
  <conditionalFormatting sqref="Y31">
    <cfRule type="cellIs" dxfId="695" priority="351" operator="greaterThan">
      <formula>0.03</formula>
    </cfRule>
    <cfRule type="cellIs" dxfId="694" priority="352" stopIfTrue="1" operator="lessThan">
      <formula>-0.03</formula>
    </cfRule>
  </conditionalFormatting>
  <conditionalFormatting sqref="AA27">
    <cfRule type="cellIs" dxfId="693" priority="367" operator="greaterThan">
      <formula>0.03</formula>
    </cfRule>
    <cfRule type="cellIs" dxfId="692" priority="368" stopIfTrue="1" operator="lessThan">
      <formula>-0.03</formula>
    </cfRule>
  </conditionalFormatting>
  <conditionalFormatting sqref="Y30:Z30">
    <cfRule type="cellIs" dxfId="691" priority="365" operator="greaterThan">
      <formula>0.03</formula>
    </cfRule>
    <cfRule type="cellIs" dxfId="690" priority="366" stopIfTrue="1" operator="lessThan">
      <formula>-0.03</formula>
    </cfRule>
  </conditionalFormatting>
  <conditionalFormatting sqref="AA35">
    <cfRule type="cellIs" dxfId="689" priority="341" operator="greaterThan">
      <formula>0.03</formula>
    </cfRule>
    <cfRule type="cellIs" dxfId="688" priority="342" stopIfTrue="1" operator="lessThan">
      <formula>-0.03</formula>
    </cfRule>
  </conditionalFormatting>
  <conditionalFormatting sqref="Y34:Z34">
    <cfRule type="cellIs" dxfId="687" priority="339" operator="greaterThan">
      <formula>0.03</formula>
    </cfRule>
    <cfRule type="cellIs" dxfId="686" priority="340" stopIfTrue="1" operator="lessThan">
      <formula>-0.03</formula>
    </cfRule>
  </conditionalFormatting>
  <conditionalFormatting sqref="Y38:Z38">
    <cfRule type="cellIs" dxfId="685" priority="337" operator="greaterThan">
      <formula>0.03</formula>
    </cfRule>
    <cfRule type="cellIs" dxfId="684" priority="338" stopIfTrue="1" operator="lessThan">
      <formula>-0.03</formula>
    </cfRule>
  </conditionalFormatting>
  <conditionalFormatting sqref="V31:X38">
    <cfRule type="cellIs" dxfId="683" priority="353" operator="greaterThan">
      <formula>0.03</formula>
    </cfRule>
    <cfRule type="cellIs" dxfId="682" priority="354" stopIfTrue="1" operator="lessThan">
      <formula>-0.03</formula>
    </cfRule>
  </conditionalFormatting>
  <conditionalFormatting sqref="Z31">
    <cfRule type="cellIs" dxfId="681" priority="349" operator="greaterThan">
      <formula>0.03</formula>
    </cfRule>
    <cfRule type="cellIs" dxfId="680" priority="350" stopIfTrue="1" operator="lessThan">
      <formula>-0.03</formula>
    </cfRule>
  </conditionalFormatting>
  <conditionalFormatting sqref="AA31">
    <cfRule type="cellIs" dxfId="679" priority="347" operator="greaterThan">
      <formula>0.03</formula>
    </cfRule>
    <cfRule type="cellIs" dxfId="678" priority="348" stopIfTrue="1" operator="lessThan">
      <formula>-0.03</formula>
    </cfRule>
  </conditionalFormatting>
  <conditionalFormatting sqref="Y35">
    <cfRule type="cellIs" dxfId="677" priority="345" operator="greaterThan">
      <formula>0.03</formula>
    </cfRule>
    <cfRule type="cellIs" dxfId="676" priority="346" stopIfTrue="1" operator="lessThan">
      <formula>-0.03</formula>
    </cfRule>
  </conditionalFormatting>
  <conditionalFormatting sqref="V39:X46">
    <cfRule type="cellIs" dxfId="675" priority="315" operator="greaterThan">
      <formula>0.03</formula>
    </cfRule>
    <cfRule type="cellIs" dxfId="674" priority="316" stopIfTrue="1" operator="lessThan">
      <formula>-0.03</formula>
    </cfRule>
  </conditionalFormatting>
  <conditionalFormatting sqref="Y39">
    <cfRule type="cellIs" dxfId="673" priority="313" operator="greaterThan">
      <formula>0.03</formula>
    </cfRule>
    <cfRule type="cellIs" dxfId="672" priority="314" stopIfTrue="1" operator="lessThan">
      <formula>-0.03</formula>
    </cfRule>
  </conditionalFormatting>
  <conditionalFormatting sqref="Z39">
    <cfRule type="cellIs" dxfId="671" priority="311" operator="greaterThan">
      <formula>0.03</formula>
    </cfRule>
    <cfRule type="cellIs" dxfId="670" priority="312" stopIfTrue="1" operator="lessThan">
      <formula>-0.03</formula>
    </cfRule>
  </conditionalFormatting>
  <conditionalFormatting sqref="AA39">
    <cfRule type="cellIs" dxfId="669" priority="309" operator="greaterThan">
      <formula>0.03</formula>
    </cfRule>
    <cfRule type="cellIs" dxfId="668" priority="310" stopIfTrue="1" operator="lessThan">
      <formula>-0.03</formula>
    </cfRule>
  </conditionalFormatting>
  <conditionalFormatting sqref="Y43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Z43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AA43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Y42:Z42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46:Z46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V47:X62">
    <cfRule type="cellIs" dxfId="657" priority="277" operator="greaterThan">
      <formula>0.03</formula>
    </cfRule>
    <cfRule type="cellIs" dxfId="656" priority="278" stopIfTrue="1" operator="lessThan">
      <formula>-0.03</formula>
    </cfRule>
  </conditionalFormatting>
  <conditionalFormatting sqref="Y47">
    <cfRule type="cellIs" dxfId="655" priority="275" operator="greaterThan">
      <formula>0.03</formula>
    </cfRule>
    <cfRule type="cellIs" dxfId="654" priority="276" stopIfTrue="1" operator="lessThan">
      <formula>-0.03</formula>
    </cfRule>
  </conditionalFormatting>
  <conditionalFormatting sqref="Z47">
    <cfRule type="cellIs" dxfId="653" priority="273" operator="greaterThan">
      <formula>0.03</formula>
    </cfRule>
    <cfRule type="cellIs" dxfId="652" priority="274" stopIfTrue="1" operator="lessThan">
      <formula>-0.03</formula>
    </cfRule>
  </conditionalFormatting>
  <conditionalFormatting sqref="AA47">
    <cfRule type="cellIs" dxfId="651" priority="271" operator="greaterThan">
      <formula>0.03</formula>
    </cfRule>
    <cfRule type="cellIs" dxfId="650" priority="272" stopIfTrue="1" operator="lessThan">
      <formula>-0.03</formula>
    </cfRule>
  </conditionalFormatting>
  <conditionalFormatting sqref="Y51">
    <cfRule type="cellIs" dxfId="649" priority="269" operator="greaterThan">
      <formula>0.03</formula>
    </cfRule>
    <cfRule type="cellIs" dxfId="648" priority="270" stopIfTrue="1" operator="lessThan">
      <formula>-0.03</formula>
    </cfRule>
  </conditionalFormatting>
  <conditionalFormatting sqref="Z51">
    <cfRule type="cellIs" dxfId="647" priority="267" operator="greaterThan">
      <formula>0.03</formula>
    </cfRule>
    <cfRule type="cellIs" dxfId="646" priority="268" stopIfTrue="1" operator="lessThan">
      <formula>-0.03</formula>
    </cfRule>
  </conditionalFormatting>
  <conditionalFormatting sqref="AA51">
    <cfRule type="cellIs" dxfId="645" priority="265" operator="greaterThan">
      <formula>0.03</formula>
    </cfRule>
    <cfRule type="cellIs" dxfId="644" priority="266" stopIfTrue="1" operator="lessThan">
      <formula>-0.03</formula>
    </cfRule>
  </conditionalFormatting>
  <conditionalFormatting sqref="Y55">
    <cfRule type="cellIs" dxfId="643" priority="263" operator="greaterThan">
      <formula>0.03</formula>
    </cfRule>
    <cfRule type="cellIs" dxfId="642" priority="264" stopIfTrue="1" operator="lessThan">
      <formula>-0.03</formula>
    </cfRule>
  </conditionalFormatting>
  <conditionalFormatting sqref="Z55">
    <cfRule type="cellIs" dxfId="641" priority="261" operator="greaterThan">
      <formula>0.03</formula>
    </cfRule>
    <cfRule type="cellIs" dxfId="640" priority="262" stopIfTrue="1" operator="lessThan">
      <formula>-0.03</formula>
    </cfRule>
  </conditionalFormatting>
  <conditionalFormatting sqref="AA55">
    <cfRule type="cellIs" dxfId="639" priority="259" operator="greaterThan">
      <formula>0.03</formula>
    </cfRule>
    <cfRule type="cellIs" dxfId="638" priority="260" stopIfTrue="1" operator="lessThan">
      <formula>-0.03</formula>
    </cfRule>
  </conditionalFormatting>
  <conditionalFormatting sqref="Y59">
    <cfRule type="cellIs" dxfId="637" priority="257" operator="greaterThan">
      <formula>0.03</formula>
    </cfRule>
    <cfRule type="cellIs" dxfId="636" priority="258" stopIfTrue="1" operator="lessThan">
      <formula>-0.03</formula>
    </cfRule>
  </conditionalFormatting>
  <conditionalFormatting sqref="Z59">
    <cfRule type="cellIs" dxfId="635" priority="255" operator="greaterThan">
      <formula>0.03</formula>
    </cfRule>
    <cfRule type="cellIs" dxfId="634" priority="256" stopIfTrue="1" operator="lessThan">
      <formula>-0.03</formula>
    </cfRule>
  </conditionalFormatting>
  <conditionalFormatting sqref="AA59">
    <cfRule type="cellIs" dxfId="633" priority="253" operator="greaterThan">
      <formula>0.03</formula>
    </cfRule>
    <cfRule type="cellIs" dxfId="632" priority="254" stopIfTrue="1" operator="lessThan">
      <formula>-0.03</formula>
    </cfRule>
  </conditionalFormatting>
  <conditionalFormatting sqref="Y50:Z50">
    <cfRule type="cellIs" dxfId="631" priority="251" operator="greaterThan">
      <formula>0.03</formula>
    </cfRule>
    <cfRule type="cellIs" dxfId="630" priority="252" stopIfTrue="1" operator="lessThan">
      <formula>-0.03</formula>
    </cfRule>
  </conditionalFormatting>
  <conditionalFormatting sqref="Y54:Z54">
    <cfRule type="cellIs" dxfId="629" priority="249" operator="greaterThan">
      <formula>0.03</formula>
    </cfRule>
    <cfRule type="cellIs" dxfId="628" priority="250" stopIfTrue="1" operator="lessThan">
      <formula>-0.03</formula>
    </cfRule>
  </conditionalFormatting>
  <conditionalFormatting sqref="Y58:Z58">
    <cfRule type="cellIs" dxfId="627" priority="247" operator="greaterThan">
      <formula>0.03</formula>
    </cfRule>
    <cfRule type="cellIs" dxfId="626" priority="248" stopIfTrue="1" operator="lessThan">
      <formula>-0.03</formula>
    </cfRule>
  </conditionalFormatting>
  <conditionalFormatting sqref="Y62:Z62">
    <cfRule type="cellIs" dxfId="625" priority="245" operator="greaterThan">
      <formula>0.03</formula>
    </cfRule>
    <cfRule type="cellIs" dxfId="624" priority="246" stopIfTrue="1" operator="lessThan">
      <formula>-0.03</formula>
    </cfRule>
  </conditionalFormatting>
  <conditionalFormatting sqref="V63:X78">
    <cfRule type="cellIs" dxfId="623" priority="203" operator="greaterThan">
      <formula>0.03</formula>
    </cfRule>
    <cfRule type="cellIs" dxfId="622" priority="204" stopIfTrue="1" operator="lessThan">
      <formula>-0.03</formula>
    </cfRule>
  </conditionalFormatting>
  <conditionalFormatting sqref="Y63">
    <cfRule type="cellIs" dxfId="621" priority="201" operator="greaterThan">
      <formula>0.03</formula>
    </cfRule>
    <cfRule type="cellIs" dxfId="620" priority="202" stopIfTrue="1" operator="lessThan">
      <formula>-0.03</formula>
    </cfRule>
  </conditionalFormatting>
  <conditionalFormatting sqref="Z63">
    <cfRule type="cellIs" dxfId="619" priority="199" operator="greaterThan">
      <formula>0.03</formula>
    </cfRule>
    <cfRule type="cellIs" dxfId="618" priority="200" stopIfTrue="1" operator="lessThan">
      <formula>-0.03</formula>
    </cfRule>
  </conditionalFormatting>
  <conditionalFormatting sqref="AA63">
    <cfRule type="cellIs" dxfId="617" priority="197" operator="greaterThan">
      <formula>0.03</formula>
    </cfRule>
    <cfRule type="cellIs" dxfId="616" priority="198" stopIfTrue="1" operator="lessThan">
      <formula>-0.03</formula>
    </cfRule>
  </conditionalFormatting>
  <conditionalFormatting sqref="Z67">
    <cfRule type="cellIs" dxfId="615" priority="193" operator="greaterThan">
      <formula>0.03</formula>
    </cfRule>
    <cfRule type="cellIs" dxfId="614" priority="194" stopIfTrue="1" operator="lessThan">
      <formula>-0.03</formula>
    </cfRule>
  </conditionalFormatting>
  <conditionalFormatting sqref="AA67">
    <cfRule type="cellIs" dxfId="613" priority="191" operator="greaterThan">
      <formula>0.03</formula>
    </cfRule>
    <cfRule type="cellIs" dxfId="612" priority="192" stopIfTrue="1" operator="lessThan">
      <formula>-0.03</formula>
    </cfRule>
  </conditionalFormatting>
  <conditionalFormatting sqref="Y71">
    <cfRule type="cellIs" dxfId="611" priority="189" operator="greaterThan">
      <formula>0.03</formula>
    </cfRule>
    <cfRule type="cellIs" dxfId="610" priority="190" stopIfTrue="1" operator="lessThan">
      <formula>-0.03</formula>
    </cfRule>
  </conditionalFormatting>
  <conditionalFormatting sqref="Z71">
    <cfRule type="cellIs" dxfId="609" priority="187" operator="greaterThan">
      <formula>0.03</formula>
    </cfRule>
    <cfRule type="cellIs" dxfId="608" priority="188" stopIfTrue="1" operator="lessThan">
      <formula>-0.03</formula>
    </cfRule>
  </conditionalFormatting>
  <conditionalFormatting sqref="Y67">
    <cfRule type="cellIs" dxfId="607" priority="195" operator="greaterThan">
      <formula>0.03</formula>
    </cfRule>
    <cfRule type="cellIs" dxfId="606" priority="196" stopIfTrue="1" operator="lessThan">
      <formula>-0.03</formula>
    </cfRule>
  </conditionalFormatting>
  <conditionalFormatting sqref="Y75">
    <cfRule type="cellIs" dxfId="605" priority="183" operator="greaterThan">
      <formula>0.03</formula>
    </cfRule>
    <cfRule type="cellIs" dxfId="604" priority="184" stopIfTrue="1" operator="lessThan">
      <formula>-0.03</formula>
    </cfRule>
  </conditionalFormatting>
  <conditionalFormatting sqref="Z75">
    <cfRule type="cellIs" dxfId="603" priority="181" operator="greaterThan">
      <formula>0.03</formula>
    </cfRule>
    <cfRule type="cellIs" dxfId="602" priority="182" stopIfTrue="1" operator="lessThan">
      <formula>-0.03</formula>
    </cfRule>
  </conditionalFormatting>
  <conditionalFormatting sqref="AA75">
    <cfRule type="cellIs" dxfId="601" priority="179" operator="greaterThan">
      <formula>0.03</formula>
    </cfRule>
    <cfRule type="cellIs" dxfId="600" priority="180" stopIfTrue="1" operator="lessThan">
      <formula>-0.03</formula>
    </cfRule>
  </conditionalFormatting>
  <conditionalFormatting sqref="Y66:Z66">
    <cfRule type="cellIs" dxfId="599" priority="177" operator="greaterThan">
      <formula>0.03</formula>
    </cfRule>
    <cfRule type="cellIs" dxfId="598" priority="178" stopIfTrue="1" operator="lessThan">
      <formula>-0.03</formula>
    </cfRule>
  </conditionalFormatting>
  <conditionalFormatting sqref="AA71">
    <cfRule type="cellIs" dxfId="597" priority="185" operator="greaterThan">
      <formula>0.03</formula>
    </cfRule>
    <cfRule type="cellIs" dxfId="596" priority="186" stopIfTrue="1" operator="lessThan">
      <formula>-0.03</formula>
    </cfRule>
  </conditionalFormatting>
  <conditionalFormatting sqref="Y70:Z70">
    <cfRule type="cellIs" dxfId="595" priority="175" operator="greaterThan">
      <formula>0.03</formula>
    </cfRule>
    <cfRule type="cellIs" dxfId="594" priority="176" stopIfTrue="1" operator="lessThan">
      <formula>-0.03</formula>
    </cfRule>
  </conditionalFormatting>
  <conditionalFormatting sqref="Y74:Z74">
    <cfRule type="cellIs" dxfId="593" priority="173" operator="greaterThan">
      <formula>0.03</formula>
    </cfRule>
    <cfRule type="cellIs" dxfId="592" priority="174" stopIfTrue="1" operator="lessThan">
      <formula>-0.03</formula>
    </cfRule>
  </conditionalFormatting>
  <conditionalFormatting sqref="Y78:Z78">
    <cfRule type="cellIs" dxfId="591" priority="171" operator="greaterThan">
      <formula>0.03</formula>
    </cfRule>
    <cfRule type="cellIs" dxfId="590" priority="172" stopIfTrue="1" operator="lessThan">
      <formula>-0.03</formula>
    </cfRule>
  </conditionalFormatting>
  <conditionalFormatting sqref="V3:X14">
    <cfRule type="cellIs" dxfId="589" priority="545" operator="greaterThan">
      <formula>0.03</formula>
    </cfRule>
    <cfRule type="cellIs" dxfId="588" priority="546" stopIfTrue="1" operator="lessThan">
      <formula>-0.03</formula>
    </cfRule>
  </conditionalFormatting>
  <conditionalFormatting sqref="Y3">
    <cfRule type="cellIs" dxfId="587" priority="543" operator="greaterThan">
      <formula>0.03</formula>
    </cfRule>
    <cfRule type="cellIs" dxfId="586" priority="544" stopIfTrue="1" operator="lessThan">
      <formula>-0.03</formula>
    </cfRule>
  </conditionalFormatting>
  <conditionalFormatting sqref="Z3">
    <cfRule type="cellIs" dxfId="585" priority="541" operator="greaterThan">
      <formula>0.03</formula>
    </cfRule>
    <cfRule type="cellIs" dxfId="584" priority="542" stopIfTrue="1" operator="lessThan">
      <formula>-0.03</formula>
    </cfRule>
  </conditionalFormatting>
  <conditionalFormatting sqref="AA3">
    <cfRule type="cellIs" dxfId="583" priority="539" operator="greaterThan">
      <formula>0.03</formula>
    </cfRule>
    <cfRule type="cellIs" dxfId="582" priority="540" stopIfTrue="1" operator="lessThan">
      <formula>-0.03</formula>
    </cfRule>
  </conditionalFormatting>
  <conditionalFormatting sqref="Y7">
    <cfRule type="cellIs" dxfId="581" priority="537" operator="greaterThan">
      <formula>0.03</formula>
    </cfRule>
    <cfRule type="cellIs" dxfId="580" priority="538" stopIfTrue="1" operator="lessThan">
      <formula>-0.03</formula>
    </cfRule>
  </conditionalFormatting>
  <conditionalFormatting sqref="Z7">
    <cfRule type="cellIs" dxfId="579" priority="535" operator="greaterThan">
      <formula>0.03</formula>
    </cfRule>
    <cfRule type="cellIs" dxfId="578" priority="536" stopIfTrue="1" operator="lessThan">
      <formula>-0.03</formula>
    </cfRule>
  </conditionalFormatting>
  <conditionalFormatting sqref="Y11">
    <cfRule type="cellIs" dxfId="577" priority="531" operator="greaterThan">
      <formula>0.03</formula>
    </cfRule>
    <cfRule type="cellIs" dxfId="576" priority="532" stopIfTrue="1" operator="lessThan">
      <formula>-0.03</formula>
    </cfRule>
  </conditionalFormatting>
  <conditionalFormatting sqref="AA11">
    <cfRule type="cellIs" dxfId="575" priority="527" operator="greaterThan">
      <formula>0.03</formula>
    </cfRule>
    <cfRule type="cellIs" dxfId="574" priority="528" stopIfTrue="1" operator="lessThan">
      <formula>-0.03</formula>
    </cfRule>
  </conditionalFormatting>
  <conditionalFormatting sqref="Y10:Z10">
    <cfRule type="cellIs" dxfId="573" priority="517" operator="greaterThan">
      <formula>0.03</formula>
    </cfRule>
    <cfRule type="cellIs" dxfId="572" priority="518" stopIfTrue="1" operator="lessThan">
      <formula>-0.03</formula>
    </cfRule>
  </conditionalFormatting>
  <conditionalFormatting sqref="V111:AA112">
    <cfRule type="cellIs" dxfId="571" priority="469" operator="greaterThan">
      <formula>0.03</formula>
    </cfRule>
    <cfRule type="cellIs" dxfId="570" priority="470" stopIfTrue="1" operator="lessThan">
      <formula>-0.03</formula>
    </cfRule>
  </conditionalFormatting>
  <conditionalFormatting sqref="V107:AA107 V109:AA109">
    <cfRule type="cellIs" dxfId="569" priority="467" operator="greaterThan">
      <formula>0.03</formula>
    </cfRule>
    <cfRule type="cellIs" dxfId="568" priority="468" stopIfTrue="1" operator="lessThan">
      <formula>-0.03</formula>
    </cfRule>
  </conditionalFormatting>
  <conditionalFormatting sqref="Y19">
    <cfRule type="cellIs" dxfId="567" priority="439" operator="greaterThan">
      <formula>0.03</formula>
    </cfRule>
    <cfRule type="cellIs" dxfId="566" priority="440" stopIfTrue="1" operator="lessThan">
      <formula>-0.03</formula>
    </cfRule>
  </conditionalFormatting>
  <conditionalFormatting sqref="V108:AA108">
    <cfRule type="cellIs" dxfId="565" priority="461" operator="greaterThan">
      <formula>0.03</formula>
    </cfRule>
    <cfRule type="cellIs" dxfId="564" priority="462" stopIfTrue="1" operator="lessThan">
      <formula>-0.03</formula>
    </cfRule>
  </conditionalFormatting>
  <conditionalFormatting sqref="V15:X26">
    <cfRule type="cellIs" dxfId="563" priority="447" operator="greaterThan">
      <formula>0.03</formula>
    </cfRule>
    <cfRule type="cellIs" dxfId="562" priority="448" stopIfTrue="1" operator="lessThan">
      <formula>-0.03</formula>
    </cfRule>
  </conditionalFormatting>
  <conditionalFormatting sqref="Y15">
    <cfRule type="cellIs" dxfId="561" priority="445" operator="greaterThan">
      <formula>0.03</formula>
    </cfRule>
    <cfRule type="cellIs" dxfId="560" priority="446" stopIfTrue="1" operator="lessThan">
      <formula>-0.03</formula>
    </cfRule>
  </conditionalFormatting>
  <conditionalFormatting sqref="V110:AA110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V113:AA113">
    <cfRule type="cellIs" dxfId="557" priority="463" operator="greaterThan">
      <formula>0.03</formula>
    </cfRule>
    <cfRule type="cellIs" dxfId="556" priority="464" stopIfTrue="1" operator="lessThan">
      <formula>-0.03</formula>
    </cfRule>
  </conditionalFormatting>
  <conditionalFormatting sqref="Z15">
    <cfRule type="cellIs" dxfId="555" priority="443" operator="greaterThan">
      <formula>0.03</formula>
    </cfRule>
    <cfRule type="cellIs" dxfId="554" priority="444" stopIfTrue="1" operator="lessThan">
      <formula>-0.03</formula>
    </cfRule>
  </conditionalFormatting>
  <conditionalFormatting sqref="AA15">
    <cfRule type="cellIs" dxfId="553" priority="441" operator="greaterThan">
      <formula>0.03</formula>
    </cfRule>
    <cfRule type="cellIs" dxfId="552" priority="442" stopIfTrue="1" operator="lessThan">
      <formula>-0.03</formula>
    </cfRule>
  </conditionalFormatting>
  <conditionalFormatting sqref="Z23">
    <cfRule type="cellIs" dxfId="551" priority="431" operator="greaterThan">
      <formula>0.03</formula>
    </cfRule>
    <cfRule type="cellIs" dxfId="550" priority="432" stopIfTrue="1" operator="lessThan">
      <formula>-0.03</formula>
    </cfRule>
  </conditionalFormatting>
  <conditionalFormatting sqref="AA23">
    <cfRule type="cellIs" dxfId="549" priority="429" operator="greaterThan">
      <formula>0.03</formula>
    </cfRule>
    <cfRule type="cellIs" dxfId="548" priority="430" stopIfTrue="1" operator="lessThan">
      <formula>-0.03</formula>
    </cfRule>
  </conditionalFormatting>
  <conditionalFormatting sqref="Y18:Z18">
    <cfRule type="cellIs" dxfId="547" priority="421" operator="greaterThan">
      <formula>0.03</formula>
    </cfRule>
    <cfRule type="cellIs" dxfId="546" priority="422" stopIfTrue="1" operator="lessThan">
      <formula>-0.03</formula>
    </cfRule>
  </conditionalFormatting>
  <conditionalFormatting sqref="Y22:Z22">
    <cfRule type="cellIs" dxfId="545" priority="419" operator="greaterThan">
      <formula>0.03</formula>
    </cfRule>
    <cfRule type="cellIs" dxfId="544" priority="420" stopIfTrue="1" operator="lessThan">
      <formula>-0.03</formula>
    </cfRule>
  </conditionalFormatting>
  <conditionalFormatting sqref="Y26:Z26">
    <cfRule type="cellIs" dxfId="543" priority="417" operator="greaterThan">
      <formula>0.03</formula>
    </cfRule>
    <cfRule type="cellIs" dxfId="542" priority="418" stopIfTrue="1" operator="lessThan">
      <formula>-0.03</formula>
    </cfRule>
  </conditionalFormatting>
  <conditionalFormatting sqref="V27:X30">
    <cfRule type="cellIs" dxfId="541" priority="373" operator="greaterThan">
      <formula>0.03</formula>
    </cfRule>
    <cfRule type="cellIs" dxfId="540" priority="374" stopIfTrue="1" operator="lessThan">
      <formula>-0.03</formula>
    </cfRule>
  </conditionalFormatting>
  <conditionalFormatting sqref="Y27">
    <cfRule type="cellIs" dxfId="539" priority="371" operator="greaterThan">
      <formula>0.03</formula>
    </cfRule>
    <cfRule type="cellIs" dxfId="538" priority="372" stopIfTrue="1" operator="lessThan">
      <formula>-0.03</formula>
    </cfRule>
  </conditionalFormatting>
  <conditionalFormatting sqref="Z27">
    <cfRule type="cellIs" dxfId="537" priority="369" operator="greaterThan">
      <formula>0.03</formula>
    </cfRule>
    <cfRule type="cellIs" dxfId="536" priority="370" stopIfTrue="1" operator="lessThan">
      <formula>-0.03</formula>
    </cfRule>
  </conditionalFormatting>
  <conditionalFormatting sqref="Y102:Z102">
    <cfRule type="cellIs" dxfId="535" priority="99" operator="greaterThan">
      <formula>0.03</formula>
    </cfRule>
    <cfRule type="cellIs" dxfId="534" priority="100" stopIfTrue="1" operator="lessThan">
      <formula>-0.03</formula>
    </cfRule>
  </conditionalFormatting>
  <conditionalFormatting sqref="Y98:Z98">
    <cfRule type="cellIs" dxfId="533" priority="101" operator="greaterThan">
      <formula>0.03</formula>
    </cfRule>
    <cfRule type="cellIs" dxfId="532" priority="102" stopIfTrue="1" operator="lessThan">
      <formula>-0.03</formula>
    </cfRule>
  </conditionalFormatting>
  <conditionalFormatting sqref="Y106:Z106">
    <cfRule type="cellIs" dxfId="531" priority="97" operator="greaterThan">
      <formula>0.03</formula>
    </cfRule>
    <cfRule type="cellIs" dxfId="530" priority="98" stopIfTrue="1" operator="lessThan">
      <formula>-0.03</formula>
    </cfRule>
  </conditionalFormatting>
  <conditionalFormatting sqref="Z83">
    <cfRule type="cellIs" dxfId="529" priority="45" operator="greaterThan">
      <formula>0.03</formula>
    </cfRule>
    <cfRule type="cellIs" dxfId="528" priority="46" stopIfTrue="1" operator="lessThan">
      <formula>-0.03</formula>
    </cfRule>
  </conditionalFormatting>
  <conditionalFormatting sqref="Z87">
    <cfRule type="cellIs" dxfId="527" priority="39" operator="greaterThan">
      <formula>0.03</formula>
    </cfRule>
    <cfRule type="cellIs" dxfId="526" priority="40" stopIfTrue="1" operator="lessThan">
      <formula>-0.03</formula>
    </cfRule>
  </conditionalFormatting>
  <conditionalFormatting sqref="Y83">
    <cfRule type="cellIs" dxfId="525" priority="47" operator="greaterThan">
      <formula>0.03</formula>
    </cfRule>
    <cfRule type="cellIs" dxfId="524" priority="48" stopIfTrue="1" operator="lessThan">
      <formula>-0.03</formula>
    </cfRule>
  </conditionalFormatting>
  <conditionalFormatting sqref="V79:X90">
    <cfRule type="cellIs" dxfId="523" priority="55" operator="greaterThan">
      <formula>0.03</formula>
    </cfRule>
    <cfRule type="cellIs" dxfId="522" priority="56" stopIfTrue="1" operator="lessThan">
      <formula>-0.03</formula>
    </cfRule>
  </conditionalFormatting>
  <conditionalFormatting sqref="AA79">
    <cfRule type="cellIs" dxfId="521" priority="49" operator="greaterThan">
      <formula>0.03</formula>
    </cfRule>
    <cfRule type="cellIs" dxfId="520" priority="50" stopIfTrue="1" operator="lessThan">
      <formula>-0.03</formula>
    </cfRule>
  </conditionalFormatting>
  <conditionalFormatting sqref="Y87">
    <cfRule type="cellIs" dxfId="519" priority="41" operator="greaterThan">
      <formula>0.03</formula>
    </cfRule>
    <cfRule type="cellIs" dxfId="518" priority="42" stopIfTrue="1" operator="lessThan">
      <formula>-0.03</formula>
    </cfRule>
  </conditionalFormatting>
  <conditionalFormatting sqref="AA87">
    <cfRule type="cellIs" dxfId="517" priority="37" operator="greaterThan">
      <formula>0.03</formula>
    </cfRule>
    <cfRule type="cellIs" dxfId="516" priority="38" stopIfTrue="1" operator="lessThan">
      <formula>-0.03</formula>
    </cfRule>
  </conditionalFormatting>
  <conditionalFormatting sqref="Y82:Z82">
    <cfRule type="cellIs" dxfId="515" priority="35" operator="greaterThan">
      <formula>0.03</formula>
    </cfRule>
    <cfRule type="cellIs" dxfId="514" priority="36" stopIfTrue="1" operator="lessThan">
      <formula>-0.03</formula>
    </cfRule>
  </conditionalFormatting>
  <conditionalFormatting sqref="Y86:Z86">
    <cfRule type="cellIs" dxfId="513" priority="33" operator="greaterThan">
      <formula>0.03</formula>
    </cfRule>
    <cfRule type="cellIs" dxfId="512" priority="34" stopIfTrue="1" operator="lessThan">
      <formula>-0.03</formula>
    </cfRule>
  </conditionalFormatting>
  <conditionalFormatting sqref="Y79">
    <cfRule type="cellIs" dxfId="511" priority="53" operator="greaterThan">
      <formula>0.03</formula>
    </cfRule>
    <cfRule type="cellIs" dxfId="510" priority="54" stopIfTrue="1" operator="lessThan">
      <formula>-0.03</formula>
    </cfRule>
  </conditionalFormatting>
  <conditionalFormatting sqref="Z79">
    <cfRule type="cellIs" dxfId="509" priority="51" operator="greaterThan">
      <formula>0.03</formula>
    </cfRule>
    <cfRule type="cellIs" dxfId="508" priority="52" stopIfTrue="1" operator="lessThan">
      <formula>-0.03</formula>
    </cfRule>
  </conditionalFormatting>
  <conditionalFormatting sqref="AA83">
    <cfRule type="cellIs" dxfId="507" priority="43" operator="greaterThan">
      <formula>0.03</formula>
    </cfRule>
    <cfRule type="cellIs" dxfId="506" priority="44" stopIfTrue="1" operator="lessThan">
      <formula>-0.03</formula>
    </cfRule>
  </conditionalFormatting>
  <conditionalFormatting sqref="Y90:Z90">
    <cfRule type="cellIs" dxfId="505" priority="31" operator="greaterThan">
      <formula>0.03</formula>
    </cfRule>
    <cfRule type="cellIs" dxfId="504" priority="32" stopIfTrue="1" operator="lessThan">
      <formula>-0.03</formula>
    </cfRule>
  </conditionalFormatting>
  <conditionalFormatting sqref="Y94:Z94">
    <cfRule type="cellIs" dxfId="503" priority="103" operator="greaterThan">
      <formula>0.03</formula>
    </cfRule>
    <cfRule type="cellIs" dxfId="502" priority="104" stopIfTrue="1" operator="lessThan">
      <formula>-0.03</formula>
    </cfRule>
  </conditionalFormatting>
  <conditionalFormatting sqref="Z103">
    <cfRule type="cellIs" dxfId="501" priority="107" operator="greaterThan">
      <formula>0.03</formula>
    </cfRule>
    <cfRule type="cellIs" dxfId="500" priority="108" stopIfTrue="1" operator="lessThan">
      <formula>-0.03</formula>
    </cfRule>
  </conditionalFormatting>
  <conditionalFormatting sqref="Y103">
    <cfRule type="cellIs" dxfId="499" priority="109" operator="greaterThan">
      <formula>0.03</formula>
    </cfRule>
    <cfRule type="cellIs" dxfId="498" priority="110" stopIfTrue="1" operator="lessThan">
      <formula>-0.03</formula>
    </cfRule>
  </conditionalFormatting>
  <conditionalFormatting sqref="AA103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Y99">
    <cfRule type="cellIs" dxfId="495" priority="115" operator="greaterThan">
      <formula>0.03</formula>
    </cfRule>
    <cfRule type="cellIs" dxfId="494" priority="116" stopIfTrue="1" operator="lessThan">
      <formula>-0.03</formula>
    </cfRule>
  </conditionalFormatting>
  <conditionalFormatting sqref="V91:X106">
    <cfRule type="cellIs" dxfId="493" priority="129" operator="greaterThan">
      <formula>0.03</formula>
    </cfRule>
    <cfRule type="cellIs" dxfId="492" priority="130" stopIfTrue="1" operator="lessThan">
      <formula>-0.03</formula>
    </cfRule>
  </conditionalFormatting>
  <conditionalFormatting sqref="Y91">
    <cfRule type="cellIs" dxfId="491" priority="127" operator="greaterThan">
      <formula>0.03</formula>
    </cfRule>
    <cfRule type="cellIs" dxfId="490" priority="128" stopIfTrue="1" operator="lessThan">
      <formula>-0.03</formula>
    </cfRule>
  </conditionalFormatting>
  <conditionalFormatting sqref="Z91">
    <cfRule type="cellIs" dxfId="489" priority="125" operator="greaterThan">
      <formula>0.03</formula>
    </cfRule>
    <cfRule type="cellIs" dxfId="488" priority="126" stopIfTrue="1" operator="lessThan">
      <formula>-0.03</formula>
    </cfRule>
  </conditionalFormatting>
  <conditionalFormatting sqref="AA91">
    <cfRule type="cellIs" dxfId="487" priority="123" operator="greaterThan">
      <formula>0.03</formula>
    </cfRule>
    <cfRule type="cellIs" dxfId="486" priority="124" stopIfTrue="1" operator="lessThan">
      <formula>-0.03</formula>
    </cfRule>
  </conditionalFormatting>
  <conditionalFormatting sqref="Y95">
    <cfRule type="cellIs" dxfId="485" priority="121" operator="greaterThan">
      <formula>0.03</formula>
    </cfRule>
    <cfRule type="cellIs" dxfId="484" priority="122" stopIfTrue="1" operator="lessThan">
      <formula>-0.03</formula>
    </cfRule>
  </conditionalFormatting>
  <conditionalFormatting sqref="Z95">
    <cfRule type="cellIs" dxfId="483" priority="119" operator="greaterThan">
      <formula>0.03</formula>
    </cfRule>
    <cfRule type="cellIs" dxfId="482" priority="120" stopIfTrue="1" operator="lessThan">
      <formula>-0.03</formula>
    </cfRule>
  </conditionalFormatting>
  <conditionalFormatting sqref="AA95">
    <cfRule type="cellIs" dxfId="481" priority="117" operator="greaterThan">
      <formula>0.03</formula>
    </cfRule>
    <cfRule type="cellIs" dxfId="480" priority="118" stopIfTrue="1" operator="lessThan">
      <formula>-0.03</formula>
    </cfRule>
  </conditionalFormatting>
  <conditionalFormatting sqref="Z99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AA99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A117"/>
  <sheetViews>
    <sheetView topLeftCell="A40" workbookViewId="0">
      <selection activeCell="M88" sqref="M88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12" t="s">
        <v>85</v>
      </c>
      <c r="E1" s="113"/>
      <c r="F1" s="113"/>
      <c r="G1" s="113"/>
      <c r="H1" s="113"/>
      <c r="I1" s="113"/>
      <c r="J1" s="114"/>
      <c r="L1" s="112" t="s">
        <v>86</v>
      </c>
      <c r="M1" s="113"/>
      <c r="N1" s="113"/>
      <c r="O1" s="113"/>
      <c r="P1" s="113"/>
      <c r="Q1" s="113"/>
      <c r="R1" s="114"/>
      <c r="S1" s="27"/>
      <c r="T1" s="27"/>
      <c r="U1" s="5"/>
      <c r="V1" s="112" t="s">
        <v>87</v>
      </c>
      <c r="W1" s="113"/>
      <c r="X1" s="114"/>
      <c r="Y1" s="112" t="s">
        <v>88</v>
      </c>
      <c r="Z1" s="113"/>
      <c r="AA1" s="114"/>
    </row>
    <row r="2" spans="1:27" ht="12.75" customHeight="1" thickBot="1" x14ac:dyDescent="0.25">
      <c r="A2" s="46"/>
      <c r="B2" s="42"/>
      <c r="C2" s="41" t="s">
        <v>89</v>
      </c>
      <c r="D2" s="6" t="s">
        <v>49</v>
      </c>
      <c r="E2" s="7" t="s">
        <v>50</v>
      </c>
      <c r="F2" s="7" t="s">
        <v>51</v>
      </c>
      <c r="G2" s="7" t="s">
        <v>52</v>
      </c>
      <c r="H2" s="7" t="s">
        <v>90</v>
      </c>
      <c r="I2" s="7" t="s">
        <v>91</v>
      </c>
      <c r="J2" s="8" t="s">
        <v>92</v>
      </c>
      <c r="K2" s="5"/>
      <c r="L2" s="6" t="s">
        <v>49</v>
      </c>
      <c r="M2" s="7" t="s">
        <v>50</v>
      </c>
      <c r="N2" s="7" t="s">
        <v>51</v>
      </c>
      <c r="O2" s="7" t="s">
        <v>52</v>
      </c>
      <c r="P2" s="7" t="s">
        <v>90</v>
      </c>
      <c r="Q2" s="7" t="s">
        <v>91</v>
      </c>
      <c r="R2" s="8" t="s">
        <v>92</v>
      </c>
      <c r="S2" s="5" t="s">
        <v>108</v>
      </c>
      <c r="T2" s="5" t="s">
        <v>109</v>
      </c>
      <c r="U2" s="5"/>
      <c r="V2" s="6" t="s">
        <v>3</v>
      </c>
      <c r="W2" s="7" t="s">
        <v>4</v>
      </c>
      <c r="X2" s="8" t="s">
        <v>5</v>
      </c>
      <c r="Y2" s="6" t="s">
        <v>3</v>
      </c>
      <c r="Z2" s="7" t="s">
        <v>4</v>
      </c>
      <c r="AA2" s="8" t="s">
        <v>5</v>
      </c>
    </row>
    <row r="3" spans="1:27" x14ac:dyDescent="0.2">
      <c r="A3" s="24" t="s">
        <v>10</v>
      </c>
      <c r="B3" s="24" t="s">
        <v>48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95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54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56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11</v>
      </c>
      <c r="B15" s="24" t="s">
        <v>58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95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59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60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12</v>
      </c>
      <c r="B27" s="24" t="s">
        <v>61</v>
      </c>
      <c r="C27" s="24">
        <v>22</v>
      </c>
      <c r="D27" s="9">
        <f>Reference!B233</f>
        <v>17972.367200000001</v>
      </c>
      <c r="E27" s="10">
        <f>Reference!C233</f>
        <v>41.013100000000001</v>
      </c>
      <c r="F27" s="10">
        <f>Reference!D233</f>
        <v>44.077599999999997</v>
      </c>
      <c r="G27" s="10">
        <f>Reference!E233</f>
        <v>44.792099999999998</v>
      </c>
      <c r="H27" s="10">
        <f>Reference!F233</f>
        <v>199538.30100199999</v>
      </c>
      <c r="I27" s="10">
        <f>Reference!G233</f>
        <v>98.432725191100005</v>
      </c>
      <c r="J27" s="11">
        <f t="shared" ref="J27:J58" si="0">H27/3600</f>
        <v>55.427305833888887</v>
      </c>
      <c r="L27" s="9">
        <f>Test!B233</f>
        <v>17972.365600000001</v>
      </c>
      <c r="M27" s="10">
        <f>Test!C233</f>
        <v>41.013100000000001</v>
      </c>
      <c r="N27" s="10">
        <f>Test!D233</f>
        <v>44.077599999999997</v>
      </c>
      <c r="O27" s="10">
        <f>Test!E233</f>
        <v>44.792099999999998</v>
      </c>
      <c r="P27" s="10">
        <f>Test!F233</f>
        <v>197448.426569</v>
      </c>
      <c r="Q27" s="10">
        <f>Test!G233</f>
        <v>99.443300962400002</v>
      </c>
      <c r="R27" s="11">
        <f t="shared" ref="R27:R58" si="1">P27/3600</f>
        <v>54.846785158055553</v>
      </c>
      <c r="S27" s="10">
        <f t="shared" ref="S27:S58" si="2">P27/H27</f>
        <v>0.98952644969659709</v>
      </c>
      <c r="T27" s="10">
        <f t="shared" ref="T27:T58" si="3">Q27/I27</f>
        <v>1.0102666645603688</v>
      </c>
      <c r="U27" s="47"/>
      <c r="V27" s="30">
        <f>bdrate($D27:$D30,E27:E30,$L27:$L30,M27:M30)</f>
        <v>-4.5265271286787367E-7</v>
      </c>
      <c r="W27" s="35">
        <f>bdrate($D27:$D30,F27:F30,$L27:$L30,N27:N30)</f>
        <v>-3.7261020169321313E-7</v>
      </c>
      <c r="X27" s="36">
        <f>bdrate($D27:$D30,G27:G30,$L27:$L30,O27:O30)</f>
        <v>-3.8929923695807389E-7</v>
      </c>
      <c r="Y27" s="30">
        <f>bdrateOld($D27:$D30,E27:E30,$L27:$L30,M27:M30)</f>
        <v>-4.5285089311786209E-7</v>
      </c>
      <c r="Z27" s="35">
        <f>bdrateOld($D27:$D30,F27:F30,$L27:$L30,N27:N30)</f>
        <v>-4.1678112527865352E-7</v>
      </c>
      <c r="AA27" s="36">
        <f>bdrateOld($D27:$D30,G27:G30,$L27:$L30,O27:O30)</f>
        <v>-4.2376601860905083E-7</v>
      </c>
    </row>
    <row r="28" spans="1:27" x14ac:dyDescent="0.2">
      <c r="A28" s="25" t="s">
        <v>96</v>
      </c>
      <c r="B28" s="25"/>
      <c r="C28" s="25">
        <v>27</v>
      </c>
      <c r="D28" s="12">
        <f>Reference!B234</f>
        <v>6665.3335999999999</v>
      </c>
      <c r="E28" s="13">
        <f>Reference!C234</f>
        <v>38.578200000000002</v>
      </c>
      <c r="F28" s="13">
        <f>Reference!D234</f>
        <v>42.177100000000003</v>
      </c>
      <c r="G28" s="13">
        <f>Reference!E234</f>
        <v>43.0807</v>
      </c>
      <c r="H28" s="13">
        <f>Reference!F234</f>
        <v>109679.949871</v>
      </c>
      <c r="I28" s="13">
        <f>Reference!G234</f>
        <v>75.846556901900001</v>
      </c>
      <c r="J28" s="14">
        <f t="shared" si="0"/>
        <v>30.466652741944447</v>
      </c>
      <c r="L28" s="12">
        <f>Test!B234</f>
        <v>6665.3320000000003</v>
      </c>
      <c r="M28" s="13">
        <f>Test!C234</f>
        <v>38.578200000000002</v>
      </c>
      <c r="N28" s="13">
        <f>Test!D234</f>
        <v>42.177100000000003</v>
      </c>
      <c r="O28" s="13">
        <f>Test!E234</f>
        <v>43.0807</v>
      </c>
      <c r="P28" s="13">
        <f>Test!F234</f>
        <v>108291.75056499999</v>
      </c>
      <c r="Q28" s="13">
        <f>Test!G234</f>
        <v>75.368932962399995</v>
      </c>
      <c r="R28" s="14">
        <f t="shared" si="1"/>
        <v>30.081041823611109</v>
      </c>
      <c r="S28" s="13">
        <f t="shared" si="2"/>
        <v>0.98734318070319382</v>
      </c>
      <c r="T28" s="13">
        <f t="shared" si="3"/>
        <v>0.99370276042829786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Reference!B235</f>
        <v>2971.6464000000001</v>
      </c>
      <c r="E29" s="13">
        <f>Reference!C235</f>
        <v>36.162599999999998</v>
      </c>
      <c r="F29" s="13">
        <f>Reference!D235</f>
        <v>40.764800000000001</v>
      </c>
      <c r="G29" s="13">
        <f>Reference!E235</f>
        <v>41.716200000000001</v>
      </c>
      <c r="H29" s="13">
        <f>Reference!F235</f>
        <v>75181.663181099997</v>
      </c>
      <c r="I29" s="13">
        <f>Reference!G235</f>
        <v>61.268711090099998</v>
      </c>
      <c r="J29" s="14">
        <f t="shared" si="0"/>
        <v>20.883795328083334</v>
      </c>
      <c r="L29" s="12">
        <f>Test!B235</f>
        <v>2971.6448</v>
      </c>
      <c r="M29" s="13">
        <f>Test!C235</f>
        <v>36.162599999999998</v>
      </c>
      <c r="N29" s="13">
        <f>Test!D235</f>
        <v>40.764800000000001</v>
      </c>
      <c r="O29" s="13">
        <f>Test!E235</f>
        <v>41.716200000000001</v>
      </c>
      <c r="P29" s="13">
        <f>Test!F235</f>
        <v>73708.9350939</v>
      </c>
      <c r="Q29" s="13">
        <f>Test!G235</f>
        <v>58.550398826600002</v>
      </c>
      <c r="R29" s="14">
        <f t="shared" si="1"/>
        <v>20.47470419275</v>
      </c>
      <c r="S29" s="13">
        <f t="shared" si="2"/>
        <v>0.98041107332711641</v>
      </c>
      <c r="T29" s="13">
        <f t="shared" si="3"/>
        <v>0.955632945183023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Reference!B236</f>
        <v>1341.9495999999999</v>
      </c>
      <c r="E30" s="17">
        <f>Reference!C236</f>
        <v>33.722299999999997</v>
      </c>
      <c r="F30" s="17">
        <f>Reference!D236</f>
        <v>39.767000000000003</v>
      </c>
      <c r="G30" s="17">
        <f>Reference!E236</f>
        <v>40.681600000000003</v>
      </c>
      <c r="H30" s="17">
        <f>Reference!F236</f>
        <v>51582.6769948</v>
      </c>
      <c r="I30" s="17">
        <f>Reference!G236</f>
        <v>48.219875097299997</v>
      </c>
      <c r="J30" s="18">
        <f t="shared" si="0"/>
        <v>14.328521387444445</v>
      </c>
      <c r="L30" s="16">
        <f>Test!B236</f>
        <v>1341.9480000000001</v>
      </c>
      <c r="M30" s="17">
        <f>Test!C236</f>
        <v>33.722299999999997</v>
      </c>
      <c r="N30" s="17">
        <f>Test!D236</f>
        <v>39.767000000000003</v>
      </c>
      <c r="O30" s="17">
        <f>Test!E236</f>
        <v>40.681600000000003</v>
      </c>
      <c r="P30" s="17">
        <f>Test!F236</f>
        <v>51336.810837999998</v>
      </c>
      <c r="Q30" s="17">
        <f>Test!G236</f>
        <v>47.517426967600002</v>
      </c>
      <c r="R30" s="18">
        <f t="shared" si="1"/>
        <v>14.260225232777778</v>
      </c>
      <c r="S30" s="13">
        <f t="shared" si="2"/>
        <v>0.9952335518215778</v>
      </c>
      <c r="T30" s="13">
        <f t="shared" si="3"/>
        <v>0.98543239425065765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62</v>
      </c>
      <c r="C31" s="24">
        <v>22</v>
      </c>
      <c r="D31" s="9">
        <f>Reference!B237</f>
        <v>11087.5488</v>
      </c>
      <c r="E31" s="10">
        <f>Reference!C237</f>
        <v>44.291699999999999</v>
      </c>
      <c r="F31" s="10">
        <f>Reference!D237</f>
        <v>47.091500000000003</v>
      </c>
      <c r="G31" s="10">
        <f>Reference!E237</f>
        <v>47.8125</v>
      </c>
      <c r="H31" s="10">
        <f>Reference!F237</f>
        <v>176231.13698099999</v>
      </c>
      <c r="I31" s="10">
        <f>Reference!G237</f>
        <v>89.153604030599993</v>
      </c>
      <c r="J31" s="11">
        <f t="shared" si="0"/>
        <v>48.953093605833331</v>
      </c>
      <c r="L31" s="9">
        <f>Test!B237</f>
        <v>11087.547200000001</v>
      </c>
      <c r="M31" s="10">
        <f>Test!C237</f>
        <v>44.291699999999999</v>
      </c>
      <c r="N31" s="10">
        <f>Test!D237</f>
        <v>47.091500000000003</v>
      </c>
      <c r="O31" s="10">
        <f>Test!E237</f>
        <v>47.8125</v>
      </c>
      <c r="P31" s="10">
        <f>Test!F237</f>
        <v>175144.365724</v>
      </c>
      <c r="Q31" s="10">
        <f>Test!G237</f>
        <v>87.884392023100006</v>
      </c>
      <c r="R31" s="11">
        <f t="shared" si="1"/>
        <v>48.651212701111113</v>
      </c>
      <c r="S31" s="13">
        <f t="shared" si="2"/>
        <v>0.99383326195576238</v>
      </c>
      <c r="T31" s="13">
        <f t="shared" si="3"/>
        <v>0.98576376108065855</v>
      </c>
      <c r="U31" s="48"/>
      <c r="V31" s="30">
        <f>bdrate($D31:$D34,E31:E34,$L31:$L34,M31:M34)</f>
        <v>-4.4001885246558459E-7</v>
      </c>
      <c r="W31" s="35">
        <f>bdrate($D31:$D34,F31:F34,$L31:$L34,N31:N34)</f>
        <v>-3.7708909916833733E-7</v>
      </c>
      <c r="X31" s="35">
        <f>bdrate($D31:$D34,G31:G34,$L31:$L34,O31:O34)</f>
        <v>-3.8624023912525729E-7</v>
      </c>
      <c r="Y31" s="33">
        <f>bdrateOld($D31:$D34,E31:E34,$L31:$L34,M31:M34)</f>
        <v>-4.4080362493481573E-7</v>
      </c>
      <c r="Z31" s="37">
        <f>bdrateOld($D31:$D34,F31:F34,$L31:$L34,N31:N34)</f>
        <v>-3.7142317987903795E-7</v>
      </c>
      <c r="AA31" s="38">
        <f>bdrateOld($D31:$D34,G31:G34,$L31:$L34,O31:O34)</f>
        <v>-3.9538135987449152E-7</v>
      </c>
    </row>
    <row r="32" spans="1:27" x14ac:dyDescent="0.2">
      <c r="A32" s="25"/>
      <c r="B32" s="25"/>
      <c r="C32" s="25">
        <v>27</v>
      </c>
      <c r="D32" s="12">
        <f>Reference!B238</f>
        <v>5545.9376000000002</v>
      </c>
      <c r="E32" s="13">
        <f>Reference!C238</f>
        <v>41.007199999999997</v>
      </c>
      <c r="F32" s="13">
        <f>Reference!D238</f>
        <v>44.716299999999997</v>
      </c>
      <c r="G32" s="13">
        <f>Reference!E238</f>
        <v>45.240699999999997</v>
      </c>
      <c r="H32" s="13">
        <f>Reference!F238</f>
        <v>120575.133241</v>
      </c>
      <c r="I32" s="13">
        <f>Reference!G238</f>
        <v>75.662334203699999</v>
      </c>
      <c r="J32" s="14">
        <f t="shared" si="0"/>
        <v>33.493092566944448</v>
      </c>
      <c r="L32" s="12">
        <f>Test!B238</f>
        <v>5545.9359999999997</v>
      </c>
      <c r="M32" s="13">
        <f>Test!C238</f>
        <v>41.007199999999997</v>
      </c>
      <c r="N32" s="13">
        <f>Test!D238</f>
        <v>44.716299999999997</v>
      </c>
      <c r="O32" s="13">
        <f>Test!E238</f>
        <v>45.240699999999997</v>
      </c>
      <c r="P32" s="13">
        <f>Test!F238</f>
        <v>119411.545143</v>
      </c>
      <c r="Q32" s="13">
        <f>Test!G238</f>
        <v>75.445977210999999</v>
      </c>
      <c r="R32" s="14">
        <f t="shared" si="1"/>
        <v>33.169873650833331</v>
      </c>
      <c r="S32" s="13">
        <f t="shared" si="2"/>
        <v>0.99034968432774373</v>
      </c>
      <c r="T32" s="13">
        <f t="shared" si="3"/>
        <v>0.99714049275670613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Reference!B239</f>
        <v>2943.5255999999999</v>
      </c>
      <c r="E33" s="13">
        <f>Reference!C239</f>
        <v>37.879600000000003</v>
      </c>
      <c r="F33" s="13">
        <f>Reference!D239</f>
        <v>43.139800000000001</v>
      </c>
      <c r="G33" s="13">
        <f>Reference!E239</f>
        <v>43.509300000000003</v>
      </c>
      <c r="H33" s="13">
        <f>Reference!F239</f>
        <v>92083.935907100007</v>
      </c>
      <c r="I33" s="13">
        <f>Reference!G239</f>
        <v>62.986030101799997</v>
      </c>
      <c r="J33" s="14">
        <f t="shared" si="0"/>
        <v>25.578871085305558</v>
      </c>
      <c r="L33" s="12">
        <f>Test!B239</f>
        <v>2943.5239999999999</v>
      </c>
      <c r="M33" s="13">
        <f>Test!C239</f>
        <v>37.879600000000003</v>
      </c>
      <c r="N33" s="13">
        <f>Test!D239</f>
        <v>43.139800000000001</v>
      </c>
      <c r="O33" s="13">
        <f>Test!E239</f>
        <v>43.509300000000003</v>
      </c>
      <c r="P33" s="13">
        <f>Test!F239</f>
        <v>91082.696999099993</v>
      </c>
      <c r="Q33" s="13">
        <f>Test!G239</f>
        <v>58.983939170799999</v>
      </c>
      <c r="R33" s="14">
        <f t="shared" si="1"/>
        <v>25.300749166416665</v>
      </c>
      <c r="S33" s="13">
        <f t="shared" si="2"/>
        <v>0.98912688844001928</v>
      </c>
      <c r="T33" s="13">
        <f t="shared" si="3"/>
        <v>0.93646065763262598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Reference!B240</f>
        <v>1599.3263999999999</v>
      </c>
      <c r="E34" s="17">
        <f>Reference!C240</f>
        <v>35.038200000000003</v>
      </c>
      <c r="F34" s="17">
        <f>Reference!D240</f>
        <v>42.057499999999997</v>
      </c>
      <c r="G34" s="17">
        <f>Reference!E240</f>
        <v>42.214100000000002</v>
      </c>
      <c r="H34" s="17">
        <f>Reference!F240</f>
        <v>65642.715859200005</v>
      </c>
      <c r="I34" s="17">
        <f>Reference!G240</f>
        <v>51.245969057099998</v>
      </c>
      <c r="J34" s="18">
        <f t="shared" si="0"/>
        <v>18.23408773866667</v>
      </c>
      <c r="L34" s="16">
        <f>Test!B240</f>
        <v>1599.3248000000001</v>
      </c>
      <c r="M34" s="17">
        <f>Test!C240</f>
        <v>35.038200000000003</v>
      </c>
      <c r="N34" s="17">
        <f>Test!D240</f>
        <v>42.057499999999997</v>
      </c>
      <c r="O34" s="17">
        <f>Test!E240</f>
        <v>42.214100000000002</v>
      </c>
      <c r="P34" s="17">
        <f>Test!F240</f>
        <v>65084.2374089</v>
      </c>
      <c r="Q34" s="17">
        <f>Test!G240</f>
        <v>49.881375074399998</v>
      </c>
      <c r="R34" s="18">
        <f t="shared" si="1"/>
        <v>18.078954835805554</v>
      </c>
      <c r="S34" s="13">
        <f t="shared" si="2"/>
        <v>0.99149214893092008</v>
      </c>
      <c r="T34" s="13">
        <f t="shared" si="3"/>
        <v>0.97337168156231912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63</v>
      </c>
      <c r="C35" s="24">
        <v>22</v>
      </c>
      <c r="D35" s="9">
        <f>Reference!B241</f>
        <v>18658.508000000002</v>
      </c>
      <c r="E35" s="10">
        <f>Reference!C241</f>
        <v>38.9223</v>
      </c>
      <c r="F35" s="10">
        <f>Reference!D241</f>
        <v>40.418100000000003</v>
      </c>
      <c r="G35" s="10">
        <f>Reference!E241</f>
        <v>43.638100000000001</v>
      </c>
      <c r="H35" s="10">
        <f>Reference!F241</f>
        <v>167072.193612</v>
      </c>
      <c r="I35" s="10">
        <f>Reference!G241</f>
        <v>82.449419021599994</v>
      </c>
      <c r="J35" s="11">
        <f t="shared" si="0"/>
        <v>46.408942670000002</v>
      </c>
      <c r="L35" s="9">
        <f>Test!B241</f>
        <v>18658.506399999998</v>
      </c>
      <c r="M35" s="10">
        <f>Test!C241</f>
        <v>38.9223</v>
      </c>
      <c r="N35" s="10">
        <f>Test!D241</f>
        <v>40.418100000000003</v>
      </c>
      <c r="O35" s="10">
        <f>Test!E241</f>
        <v>43.638100000000001</v>
      </c>
      <c r="P35" s="10">
        <f>Test!F241</f>
        <v>164762.32096499999</v>
      </c>
      <c r="Q35" s="10">
        <f>Test!G241</f>
        <v>79.941485166500001</v>
      </c>
      <c r="R35" s="11">
        <f t="shared" si="1"/>
        <v>45.767311379166664</v>
      </c>
      <c r="S35" s="13">
        <f t="shared" si="2"/>
        <v>0.98617440402821099</v>
      </c>
      <c r="T35" s="13">
        <f t="shared" si="3"/>
        <v>0.96958215248984392</v>
      </c>
      <c r="U35" s="48"/>
      <c r="V35" s="30">
        <f>bdrate($D35:$D38,E35:E38,$L35:$L38,M35:M38)</f>
        <v>-6.3176359466066145E-7</v>
      </c>
      <c r="W35" s="35">
        <f>bdrate($D35:$D38,F35:F38,$L35:$L38,N35:N38)</f>
        <v>-5.1818635704581339E-7</v>
      </c>
      <c r="X35" s="35">
        <f>bdrate($D35:$D38,G35:G38,$L35:$L38,O35:O38)</f>
        <v>-5.4624133105640738E-7</v>
      </c>
      <c r="Y35" s="33">
        <f>bdrateOld($D35:$D38,E35:E38,$L35:$L38,M35:M38)</f>
        <v>-6.3161329133532007E-7</v>
      </c>
      <c r="Z35" s="37">
        <f>bdrateOld($D35:$D38,F35:F38,$L35:$L38,N35:N38)</f>
        <v>-5.8257373136694213E-7</v>
      </c>
      <c r="AA35" s="38">
        <f>bdrateOld($D35:$D38,G35:G38,$L35:$L38,O35:O38)</f>
        <v>-5.3163472313322302E-7</v>
      </c>
    </row>
    <row r="36" spans="1:27" x14ac:dyDescent="0.2">
      <c r="A36" s="25"/>
      <c r="B36" s="25"/>
      <c r="C36" s="25">
        <v>27</v>
      </c>
      <c r="D36" s="12">
        <f>Reference!B242</f>
        <v>4709.7488000000003</v>
      </c>
      <c r="E36" s="13">
        <f>Reference!C242</f>
        <v>36.914999999999999</v>
      </c>
      <c r="F36" s="13">
        <f>Reference!D242</f>
        <v>39.136499999999998</v>
      </c>
      <c r="G36" s="13">
        <f>Reference!E242</f>
        <v>41.814500000000002</v>
      </c>
      <c r="H36" s="13">
        <f>Reference!F242</f>
        <v>90557.893364000003</v>
      </c>
      <c r="I36" s="13">
        <f>Reference!G242</f>
        <v>52.774746894800003</v>
      </c>
      <c r="J36" s="14">
        <f t="shared" si="0"/>
        <v>25.154970378888891</v>
      </c>
      <c r="L36" s="12">
        <f>Test!B242</f>
        <v>4709.7471999999998</v>
      </c>
      <c r="M36" s="13">
        <f>Test!C242</f>
        <v>36.914999999999999</v>
      </c>
      <c r="N36" s="13">
        <f>Test!D242</f>
        <v>39.136499999999998</v>
      </c>
      <c r="O36" s="13">
        <f>Test!E242</f>
        <v>41.814500000000002</v>
      </c>
      <c r="P36" s="13">
        <f>Test!F242</f>
        <v>88949.197414900002</v>
      </c>
      <c r="Q36" s="13">
        <f>Test!G242</f>
        <v>50.821896076199998</v>
      </c>
      <c r="R36" s="14">
        <f t="shared" si="1"/>
        <v>24.708110393027777</v>
      </c>
      <c r="S36" s="13">
        <f t="shared" si="2"/>
        <v>0.98223571806563781</v>
      </c>
      <c r="T36" s="13">
        <f t="shared" si="3"/>
        <v>0.96299649105863505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Reference!B243</f>
        <v>2117.6896000000002</v>
      </c>
      <c r="E37" s="13">
        <f>Reference!C243</f>
        <v>34.862099999999998</v>
      </c>
      <c r="F37" s="13">
        <f>Reference!D243</f>
        <v>38.292400000000001</v>
      </c>
      <c r="G37" s="13">
        <f>Reference!E243</f>
        <v>40.330399999999997</v>
      </c>
      <c r="H37" s="13">
        <f>Reference!F243</f>
        <v>62734.819886899997</v>
      </c>
      <c r="I37" s="13">
        <f>Reference!G243</f>
        <v>43.037086010000003</v>
      </c>
      <c r="J37" s="14">
        <f t="shared" si="0"/>
        <v>17.426338857472221</v>
      </c>
      <c r="L37" s="12">
        <f>Test!B243</f>
        <v>2117.6880000000001</v>
      </c>
      <c r="M37" s="13">
        <f>Test!C243</f>
        <v>34.862099999999998</v>
      </c>
      <c r="N37" s="13">
        <f>Test!D243</f>
        <v>38.292400000000001</v>
      </c>
      <c r="O37" s="13">
        <f>Test!E243</f>
        <v>40.330399999999997</v>
      </c>
      <c r="P37" s="13">
        <f>Test!F243</f>
        <v>62068.085535999999</v>
      </c>
      <c r="Q37" s="13">
        <f>Test!G243</f>
        <v>40.753082990599999</v>
      </c>
      <c r="R37" s="14">
        <f t="shared" si="1"/>
        <v>17.241134871111111</v>
      </c>
      <c r="S37" s="13">
        <f t="shared" si="2"/>
        <v>0.98937218036009345</v>
      </c>
      <c r="T37" s="13">
        <f t="shared" si="3"/>
        <v>0.94692942224598342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Reference!B244</f>
        <v>1037.26</v>
      </c>
      <c r="E38" s="17">
        <f>Reference!C244</f>
        <v>32.654600000000002</v>
      </c>
      <c r="F38" s="17">
        <f>Reference!D244</f>
        <v>37.5563</v>
      </c>
      <c r="G38" s="17">
        <f>Reference!E244</f>
        <v>39.104500000000002</v>
      </c>
      <c r="H38" s="17">
        <f>Reference!F244</f>
        <v>44891.048458099998</v>
      </c>
      <c r="I38" s="17">
        <f>Reference!G244</f>
        <v>36.441200971599997</v>
      </c>
      <c r="J38" s="18">
        <f t="shared" si="0"/>
        <v>12.469735682805554</v>
      </c>
      <c r="L38" s="16">
        <f>Test!B244</f>
        <v>1037.2583999999999</v>
      </c>
      <c r="M38" s="17">
        <f>Test!C244</f>
        <v>32.654600000000002</v>
      </c>
      <c r="N38" s="17">
        <f>Test!D244</f>
        <v>37.5563</v>
      </c>
      <c r="O38" s="17">
        <f>Test!E244</f>
        <v>39.104500000000002</v>
      </c>
      <c r="P38" s="17">
        <f>Test!F244</f>
        <v>44656.770395</v>
      </c>
      <c r="Q38" s="17">
        <f>Test!G244</f>
        <v>35.144289970400003</v>
      </c>
      <c r="R38" s="18">
        <f t="shared" si="1"/>
        <v>12.404658443055556</v>
      </c>
      <c r="S38" s="13">
        <f t="shared" si="2"/>
        <v>0.99478118531094972</v>
      </c>
      <c r="T38" s="13">
        <f t="shared" si="3"/>
        <v>0.96441086005341248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68</v>
      </c>
      <c r="C39" s="24">
        <v>22</v>
      </c>
      <c r="D39" s="9">
        <f>Reference!B245</f>
        <v>17528.4656</v>
      </c>
      <c r="E39" s="10">
        <f>Reference!C245</f>
        <v>39.6569</v>
      </c>
      <c r="F39" s="10">
        <f>Reference!D245</f>
        <v>44.096600000000002</v>
      </c>
      <c r="G39" s="10">
        <f>Reference!E245</f>
        <v>45.569899999999997</v>
      </c>
      <c r="H39" s="10">
        <f>Reference!F245</f>
        <v>212363.575105</v>
      </c>
      <c r="I39" s="10">
        <f>Reference!G245</f>
        <v>85.570391178099996</v>
      </c>
      <c r="J39" s="11">
        <f t="shared" si="0"/>
        <v>58.989881973611112</v>
      </c>
      <c r="L39" s="9">
        <f>Test!B245</f>
        <v>17528.464</v>
      </c>
      <c r="M39" s="10">
        <f>Test!C245</f>
        <v>39.6569</v>
      </c>
      <c r="N39" s="10">
        <f>Test!D245</f>
        <v>44.096600000000002</v>
      </c>
      <c r="O39" s="10">
        <f>Test!E245</f>
        <v>45.569899999999997</v>
      </c>
      <c r="P39" s="10">
        <f>Test!F245</f>
        <v>210203.37956299999</v>
      </c>
      <c r="Q39" s="10">
        <f>Test!G245</f>
        <v>86.052297830599997</v>
      </c>
      <c r="R39" s="11">
        <f t="shared" si="1"/>
        <v>58.389827656388888</v>
      </c>
      <c r="S39" s="13">
        <f t="shared" si="2"/>
        <v>0.98982784340048935</v>
      </c>
      <c r="T39" s="13">
        <f t="shared" si="3"/>
        <v>1.0056316986035156</v>
      </c>
      <c r="U39" s="48"/>
      <c r="V39" s="30">
        <f>bdrate($D39:$D42,E39:E42,$L39:$L42,M39:M42)</f>
        <v>-4.9086533260300769E-7</v>
      </c>
      <c r="W39" s="35">
        <f>bdrate($D39:$D42,F39:F42,$L39:$L42,N39:N42)</f>
        <v>-4.4854770031577118E-7</v>
      </c>
      <c r="X39" s="35">
        <f>bdrate($D39:$D42,G39:G42,$L39:$L42,O39:O42)</f>
        <v>-4.3502368141101755E-7</v>
      </c>
      <c r="Y39" s="33">
        <f>bdrateOld($D39:$D42,E39:E42,$L39:$L42,M39:M42)</f>
        <v>-4.9239805877121512E-7</v>
      </c>
      <c r="Z39" s="37">
        <f>bdrateOld($D39:$D42,F39:F42,$L39:$L42,N39:N42)</f>
        <v>-4.8847737399437818E-7</v>
      </c>
      <c r="AA39" s="38">
        <f>bdrateOld($D39:$D42,G39:G42,$L39:$L42,O39:O42)</f>
        <v>-4.3845280317533764E-7</v>
      </c>
    </row>
    <row r="40" spans="1:27" x14ac:dyDescent="0.2">
      <c r="A40" s="25"/>
      <c r="B40" s="25"/>
      <c r="C40" s="25">
        <v>27</v>
      </c>
      <c r="D40" s="12">
        <f>Reference!B246</f>
        <v>5627.3023999999996</v>
      </c>
      <c r="E40" s="13">
        <f>Reference!C246</f>
        <v>37.738399999999999</v>
      </c>
      <c r="F40" s="13">
        <f>Reference!D246</f>
        <v>42.785400000000003</v>
      </c>
      <c r="G40" s="13">
        <f>Reference!E246</f>
        <v>43.487499999999997</v>
      </c>
      <c r="H40" s="13">
        <f>Reference!F246</f>
        <v>123142.111344</v>
      </c>
      <c r="I40" s="13">
        <f>Reference!G246</f>
        <v>64.344434976599999</v>
      </c>
      <c r="J40" s="14">
        <f t="shared" si="0"/>
        <v>34.206142040000003</v>
      </c>
      <c r="L40" s="12">
        <f>Test!B246</f>
        <v>5627.3008</v>
      </c>
      <c r="M40" s="13">
        <f>Test!C246</f>
        <v>37.738399999999999</v>
      </c>
      <c r="N40" s="13">
        <f>Test!D246</f>
        <v>42.785400000000003</v>
      </c>
      <c r="O40" s="13">
        <f>Test!E246</f>
        <v>43.487499999999997</v>
      </c>
      <c r="P40" s="13">
        <f>Test!F246</f>
        <v>122173.772365</v>
      </c>
      <c r="Q40" s="13">
        <f>Test!G246</f>
        <v>62.928455114400002</v>
      </c>
      <c r="R40" s="14">
        <f t="shared" si="1"/>
        <v>33.93715899027778</v>
      </c>
      <c r="S40" s="13">
        <f t="shared" si="2"/>
        <v>0.99213641078237702</v>
      </c>
      <c r="T40" s="13">
        <f t="shared" si="3"/>
        <v>0.97799374782426884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Reference!B247</f>
        <v>2677.1687999999999</v>
      </c>
      <c r="E41" s="13">
        <f>Reference!C247</f>
        <v>35.882199999999997</v>
      </c>
      <c r="F41" s="13">
        <f>Reference!D247</f>
        <v>41.6631</v>
      </c>
      <c r="G41" s="13">
        <f>Reference!E247</f>
        <v>41.901800000000001</v>
      </c>
      <c r="H41" s="13">
        <f>Reference!F247</f>
        <v>81235.699633099997</v>
      </c>
      <c r="I41" s="13">
        <f>Reference!G247</f>
        <v>53.942339181900003</v>
      </c>
      <c r="J41" s="14">
        <f t="shared" si="0"/>
        <v>22.565472120305554</v>
      </c>
      <c r="L41" s="12">
        <f>Test!B247</f>
        <v>2677.1671999999999</v>
      </c>
      <c r="M41" s="13">
        <f>Test!C247</f>
        <v>35.882199999999997</v>
      </c>
      <c r="N41" s="13">
        <f>Test!D247</f>
        <v>41.6631</v>
      </c>
      <c r="O41" s="13">
        <f>Test!E247</f>
        <v>41.901800000000001</v>
      </c>
      <c r="P41" s="13">
        <f>Test!F247</f>
        <v>81051.115170000005</v>
      </c>
      <c r="Q41" s="13">
        <f>Test!G247</f>
        <v>52.774255990999997</v>
      </c>
      <c r="R41" s="14">
        <f t="shared" si="1"/>
        <v>22.514198658333335</v>
      </c>
      <c r="S41" s="13">
        <f t="shared" si="2"/>
        <v>0.99772779130439371</v>
      </c>
      <c r="T41" s="13">
        <f t="shared" si="3"/>
        <v>0.97834570749775807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Reference!B248</f>
        <v>1391.9552000000001</v>
      </c>
      <c r="E42" s="17">
        <f>Reference!C248</f>
        <v>33.9039</v>
      </c>
      <c r="F42" s="17">
        <f>Reference!D248</f>
        <v>40.687100000000001</v>
      </c>
      <c r="G42" s="17">
        <f>Reference!E248</f>
        <v>40.509700000000002</v>
      </c>
      <c r="H42" s="17">
        <f>Reference!F248</f>
        <v>54816.362231999999</v>
      </c>
      <c r="I42" s="17">
        <f>Reference!G248</f>
        <v>46.3870360851</v>
      </c>
      <c r="J42" s="18">
        <f t="shared" si="0"/>
        <v>15.226767286666666</v>
      </c>
      <c r="L42" s="16">
        <f>Test!B248</f>
        <v>1391.9536000000001</v>
      </c>
      <c r="M42" s="17">
        <f>Test!C248</f>
        <v>33.9039</v>
      </c>
      <c r="N42" s="17">
        <f>Test!D248</f>
        <v>40.687100000000001</v>
      </c>
      <c r="O42" s="17">
        <f>Test!E248</f>
        <v>40.509700000000002</v>
      </c>
      <c r="P42" s="17">
        <f>Test!F248</f>
        <v>54459.982127900003</v>
      </c>
      <c r="Q42" s="17">
        <f>Test!G248</f>
        <v>44.639781236600001</v>
      </c>
      <c r="R42" s="18">
        <f t="shared" si="1"/>
        <v>15.127772813305556</v>
      </c>
      <c r="S42" s="13">
        <f t="shared" si="2"/>
        <v>0.99349865460623443</v>
      </c>
      <c r="T42" s="13">
        <f t="shared" si="3"/>
        <v>0.96233312157960371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69</v>
      </c>
      <c r="C43" s="24">
        <v>22</v>
      </c>
      <c r="D43" s="9">
        <f>Reference!B249</f>
        <v>51949.196000000004</v>
      </c>
      <c r="E43" s="10">
        <f>Reference!C249</f>
        <v>38.421500000000002</v>
      </c>
      <c r="F43" s="10">
        <f>Reference!D249</f>
        <v>42.2273</v>
      </c>
      <c r="G43" s="10">
        <f>Reference!E249</f>
        <v>44.293700000000001</v>
      </c>
      <c r="H43" s="10">
        <f>Reference!F249</f>
        <v>179100.876063</v>
      </c>
      <c r="I43" s="10">
        <f>Reference!G249</f>
        <v>145.723424196</v>
      </c>
      <c r="J43" s="11">
        <f t="shared" si="0"/>
        <v>49.750243350833337</v>
      </c>
      <c r="L43" s="9">
        <f>Test!B249</f>
        <v>51949.1944</v>
      </c>
      <c r="M43" s="10">
        <f>Test!C249</f>
        <v>38.421500000000002</v>
      </c>
      <c r="N43" s="10">
        <f>Test!D249</f>
        <v>42.2273</v>
      </c>
      <c r="O43" s="10">
        <f>Test!E249</f>
        <v>44.293700000000001</v>
      </c>
      <c r="P43" s="10">
        <f>Test!F249</f>
        <v>174295.01285200001</v>
      </c>
      <c r="Q43" s="10">
        <f>Test!G249</f>
        <v>142.28664898900001</v>
      </c>
      <c r="R43" s="11">
        <f t="shared" si="1"/>
        <v>48.415281347777778</v>
      </c>
      <c r="S43" s="13">
        <f t="shared" si="2"/>
        <v>0.97316672415767813</v>
      </c>
      <c r="T43" s="13">
        <f t="shared" si="3"/>
        <v>0.97641576688194298</v>
      </c>
      <c r="U43" s="48"/>
      <c r="V43" s="30">
        <f>bdrate($D43:$D46,E43:E46,$L43:$L46,M43:M46)</f>
        <v>-6.6146055555105221E-7</v>
      </c>
      <c r="W43" s="35">
        <f>bdrate($D43:$D46,F43:F46,$L43:$L46,N43:N46)</f>
        <v>-6.2034890135898024E-7</v>
      </c>
      <c r="X43" s="35">
        <f>bdrate($D43:$D46,G43:G46,$L43:$L46,O43:O46)</f>
        <v>-6.050976744109704E-7</v>
      </c>
      <c r="Y43" s="33">
        <f>bdrateOld($D43:$D46,E43:E46,$L43:$L46,M43:M46)</f>
        <v>-6.6323728242778657E-7</v>
      </c>
      <c r="Z43" s="37">
        <f>bdrateOld($D43:$D46,F43:F46,$L43:$L46,N43:N46)</f>
        <v>-5.8384757806173582E-7</v>
      </c>
      <c r="AA43" s="38">
        <f>bdrateOld($D43:$D46,G43:G46,$L43:$L46,O43:O46)</f>
        <v>-1.7522273176862058E-7</v>
      </c>
    </row>
    <row r="44" spans="1:27" x14ac:dyDescent="0.2">
      <c r="A44" s="25"/>
      <c r="B44" s="25"/>
      <c r="C44" s="25">
        <v>27</v>
      </c>
      <c r="D44" s="12">
        <f>Reference!B250</f>
        <v>6741.9344000000001</v>
      </c>
      <c r="E44" s="13">
        <f>Reference!C250</f>
        <v>35.552399999999999</v>
      </c>
      <c r="F44" s="13">
        <f>Reference!D250</f>
        <v>40.8294</v>
      </c>
      <c r="G44" s="13">
        <f>Reference!E250</f>
        <v>43.148400000000002</v>
      </c>
      <c r="H44" s="13">
        <f>Reference!F250</f>
        <v>77264.571574000001</v>
      </c>
      <c r="I44" s="13">
        <f>Reference!G250</f>
        <v>70.382423162500004</v>
      </c>
      <c r="J44" s="14">
        <f t="shared" si="0"/>
        <v>21.462380992777778</v>
      </c>
      <c r="L44" s="12">
        <f>Test!B250</f>
        <v>6741.9327999999996</v>
      </c>
      <c r="M44" s="13">
        <f>Test!C250</f>
        <v>35.552399999999999</v>
      </c>
      <c r="N44" s="13">
        <f>Test!D250</f>
        <v>40.8294</v>
      </c>
      <c r="O44" s="13">
        <f>Test!E250</f>
        <v>43.148400000000002</v>
      </c>
      <c r="P44" s="13">
        <f>Test!F250</f>
        <v>76593.1730542</v>
      </c>
      <c r="Q44" s="13">
        <f>Test!G250</f>
        <v>68.093605041499998</v>
      </c>
      <c r="R44" s="14">
        <f t="shared" si="1"/>
        <v>21.275881403944446</v>
      </c>
      <c r="S44" s="13">
        <f t="shared" si="2"/>
        <v>0.99131039613470229</v>
      </c>
      <c r="T44" s="13">
        <f t="shared" si="3"/>
        <v>0.96748025972741025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Reference!B251</f>
        <v>1723.7224000000001</v>
      </c>
      <c r="E45" s="13">
        <f>Reference!C251</f>
        <v>33.744</v>
      </c>
      <c r="F45" s="13">
        <f>Reference!D251</f>
        <v>39.635899999999999</v>
      </c>
      <c r="G45" s="13">
        <f>Reference!E251</f>
        <v>42.211599999999997</v>
      </c>
      <c r="H45" s="13">
        <f>Reference!F251</f>
        <v>44221.601061100002</v>
      </c>
      <c r="I45" s="13">
        <f>Reference!G251</f>
        <v>47.307592153500003</v>
      </c>
      <c r="J45" s="14">
        <f t="shared" si="0"/>
        <v>12.283778072527779</v>
      </c>
      <c r="L45" s="12">
        <f>Test!B251</f>
        <v>1723.7208000000001</v>
      </c>
      <c r="M45" s="13">
        <f>Test!C251</f>
        <v>33.744</v>
      </c>
      <c r="N45" s="13">
        <f>Test!D251</f>
        <v>39.635899999999999</v>
      </c>
      <c r="O45" s="13">
        <f>Test!E251</f>
        <v>42.211599999999997</v>
      </c>
      <c r="P45" s="13">
        <f>Test!F251</f>
        <v>43694.690124000001</v>
      </c>
      <c r="Q45" s="13">
        <f>Test!G251</f>
        <v>44.749900102600002</v>
      </c>
      <c r="R45" s="14">
        <f t="shared" si="1"/>
        <v>12.137413923333334</v>
      </c>
      <c r="S45" s="13">
        <f t="shared" si="2"/>
        <v>0.98808476119234168</v>
      </c>
      <c r="T45" s="13">
        <f t="shared" si="3"/>
        <v>0.94593485031745006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Reference!B252</f>
        <v>658.66800000000001</v>
      </c>
      <c r="E46" s="17">
        <f>Reference!C252</f>
        <v>31.679300000000001</v>
      </c>
      <c r="F46" s="17">
        <f>Reference!D252</f>
        <v>38.7271</v>
      </c>
      <c r="G46" s="17">
        <f>Reference!E252</f>
        <v>41.509</v>
      </c>
      <c r="H46" s="17">
        <f>Reference!F252</f>
        <v>28902.8577042</v>
      </c>
      <c r="I46" s="17">
        <f>Reference!G252</f>
        <v>35.5141708851</v>
      </c>
      <c r="J46" s="18">
        <f t="shared" si="0"/>
        <v>8.0285715844999999</v>
      </c>
      <c r="L46" s="16">
        <f>Test!B252</f>
        <v>658.66639999999995</v>
      </c>
      <c r="M46" s="17">
        <f>Test!C252</f>
        <v>31.679300000000001</v>
      </c>
      <c r="N46" s="17">
        <f>Test!D252</f>
        <v>38.7271</v>
      </c>
      <c r="O46" s="17">
        <f>Test!E252</f>
        <v>41.509</v>
      </c>
      <c r="P46" s="17">
        <f>Test!F252</f>
        <v>28592.942101000001</v>
      </c>
      <c r="Q46" s="17">
        <f>Test!G252</f>
        <v>33.801501989400002</v>
      </c>
      <c r="R46" s="18">
        <f t="shared" si="1"/>
        <v>7.942483916944445</v>
      </c>
      <c r="S46" s="13">
        <f t="shared" si="2"/>
        <v>0.98927733698958897</v>
      </c>
      <c r="T46" s="13">
        <f t="shared" si="3"/>
        <v>0.95177505618134672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13</v>
      </c>
      <c r="B47" s="24" t="s">
        <v>70</v>
      </c>
      <c r="C47" s="24">
        <v>22</v>
      </c>
      <c r="D47" s="9">
        <f>Reference!B253</f>
        <v>3194.5704000000001</v>
      </c>
      <c r="E47" s="10">
        <f>Reference!C253</f>
        <v>40.561900000000001</v>
      </c>
      <c r="F47" s="10">
        <f>Reference!D253</f>
        <v>43.375799999999998</v>
      </c>
      <c r="G47" s="10">
        <f>Reference!E253</f>
        <v>44.130499999999998</v>
      </c>
      <c r="H47" s="10">
        <f>Reference!F253</f>
        <v>30974.825128799999</v>
      </c>
      <c r="I47" s="10">
        <f>Reference!G253</f>
        <v>17.062355995200001</v>
      </c>
      <c r="J47" s="11">
        <f t="shared" si="0"/>
        <v>8.6041180913333335</v>
      </c>
      <c r="L47" s="9">
        <f>Test!B253</f>
        <v>3194.5688</v>
      </c>
      <c r="M47" s="10">
        <f>Test!C253</f>
        <v>40.561900000000001</v>
      </c>
      <c r="N47" s="10">
        <f>Test!D253</f>
        <v>43.375799999999998</v>
      </c>
      <c r="O47" s="10">
        <f>Test!E253</f>
        <v>44.130499999999998</v>
      </c>
      <c r="P47" s="10">
        <f>Test!F253</f>
        <v>30322.727500000001</v>
      </c>
      <c r="Q47" s="10">
        <f>Test!G253</f>
        <v>16.4811460972</v>
      </c>
      <c r="R47" s="11">
        <f t="shared" si="1"/>
        <v>8.4229798611111111</v>
      </c>
      <c r="S47" s="10">
        <f t="shared" si="2"/>
        <v>0.97894749603626696</v>
      </c>
      <c r="T47" s="10">
        <f t="shared" si="3"/>
        <v>0.96593612874074908</v>
      </c>
      <c r="U47" s="47"/>
      <c r="V47" s="30">
        <f>bdrate($D47:$D50,E47:E50,$L47:$L50,M47:M50)</f>
        <v>-1.6786026248993835E-6</v>
      </c>
      <c r="W47" s="35">
        <f>bdrate($D47:$D50,F47:F50,$L47:$L50,N47:N50)</f>
        <v>-1.6457297135064053E-6</v>
      </c>
      <c r="X47" s="36">
        <f>bdrate($D47:$D50,G47:G50,$L47:$L50,O47:O50)</f>
        <v>-1.6151196076119589E-6</v>
      </c>
      <c r="Y47" s="30">
        <f>bdrateOld($D47:$D50,E47:E50,$L47:$L50,M47:M50)</f>
        <v>-1.6880263425944619E-6</v>
      </c>
      <c r="Z47" s="35">
        <f>bdrateOld($D47:$D50,F47:F50,$L47:$L50,N47:N50)</f>
        <v>-1.6562156269772643E-6</v>
      </c>
      <c r="AA47" s="36">
        <f>bdrateOld($D47:$D50,G47:G50,$L47:$L50,O47:O50)</f>
        <v>-1.6269749841812953E-6</v>
      </c>
    </row>
    <row r="48" spans="1:27" x14ac:dyDescent="0.2">
      <c r="A48" s="25" t="s">
        <v>97</v>
      </c>
      <c r="B48" s="25"/>
      <c r="C48" s="25">
        <v>27</v>
      </c>
      <c r="D48" s="12">
        <f>Reference!B254</f>
        <v>1463.6296</v>
      </c>
      <c r="E48" s="13">
        <f>Reference!C254</f>
        <v>37.309800000000003</v>
      </c>
      <c r="F48" s="13">
        <f>Reference!D254</f>
        <v>40.921100000000003</v>
      </c>
      <c r="G48" s="13">
        <f>Reference!E254</f>
        <v>41.356999999999999</v>
      </c>
      <c r="H48" s="13">
        <f>Reference!F254</f>
        <v>24094.170609000001</v>
      </c>
      <c r="I48" s="13">
        <f>Reference!G254</f>
        <v>12.829315900799999</v>
      </c>
      <c r="J48" s="14">
        <f t="shared" si="0"/>
        <v>6.6928251691666665</v>
      </c>
      <c r="L48" s="12">
        <f>Test!B254</f>
        <v>1463.6279999999999</v>
      </c>
      <c r="M48" s="13">
        <f>Test!C254</f>
        <v>37.309800000000003</v>
      </c>
      <c r="N48" s="13">
        <f>Test!D254</f>
        <v>40.921100000000003</v>
      </c>
      <c r="O48" s="13">
        <f>Test!E254</f>
        <v>41.356999999999999</v>
      </c>
      <c r="P48" s="13">
        <f>Test!F254</f>
        <v>23168.112894999998</v>
      </c>
      <c r="Q48" s="13">
        <f>Test!G254</f>
        <v>11.3894600868</v>
      </c>
      <c r="R48" s="14">
        <f t="shared" si="1"/>
        <v>6.4355869152777769</v>
      </c>
      <c r="S48" s="13">
        <f t="shared" si="2"/>
        <v>0.96156507194092466</v>
      </c>
      <c r="T48" s="13">
        <f t="shared" si="3"/>
        <v>0.88776830930554806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Reference!B255</f>
        <v>727.66719999999998</v>
      </c>
      <c r="E49" s="13">
        <f>Reference!C255</f>
        <v>34.542999999999999</v>
      </c>
      <c r="F49" s="13">
        <f>Reference!D255</f>
        <v>39.091099999999997</v>
      </c>
      <c r="G49" s="13">
        <f>Reference!E255</f>
        <v>39.429200000000002</v>
      </c>
      <c r="H49" s="13">
        <f>Reference!F255</f>
        <v>17017.2105238</v>
      </c>
      <c r="I49" s="13">
        <f>Reference!G255</f>
        <v>9.9002461433400004</v>
      </c>
      <c r="J49" s="14">
        <f t="shared" si="0"/>
        <v>4.7270029232777775</v>
      </c>
      <c r="L49" s="12">
        <f>Test!B255</f>
        <v>727.66560000000004</v>
      </c>
      <c r="M49" s="13">
        <f>Test!C255</f>
        <v>34.542999999999999</v>
      </c>
      <c r="N49" s="13">
        <f>Test!D255</f>
        <v>39.091099999999997</v>
      </c>
      <c r="O49" s="13">
        <f>Test!E255</f>
        <v>39.429200000000002</v>
      </c>
      <c r="P49" s="13">
        <f>Test!F255</f>
        <v>16778.835994000001</v>
      </c>
      <c r="Q49" s="13">
        <f>Test!G255</f>
        <v>9.3631670474999993</v>
      </c>
      <c r="R49" s="14">
        <f t="shared" si="1"/>
        <v>4.6607877761111114</v>
      </c>
      <c r="S49" s="13">
        <f t="shared" si="2"/>
        <v>0.98599215015489095</v>
      </c>
      <c r="T49" s="13">
        <f t="shared" si="3"/>
        <v>0.94575093507131636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Reference!B256</f>
        <v>383.66</v>
      </c>
      <c r="E50" s="17">
        <f>Reference!C256</f>
        <v>32.181100000000001</v>
      </c>
      <c r="F50" s="17">
        <f>Reference!D256</f>
        <v>37.4422</v>
      </c>
      <c r="G50" s="17">
        <f>Reference!E256</f>
        <v>37.688800000000001</v>
      </c>
      <c r="H50" s="17">
        <f>Reference!F256</f>
        <v>12373.977586000001</v>
      </c>
      <c r="I50" s="17">
        <f>Reference!G256</f>
        <v>7.8279948234600001</v>
      </c>
      <c r="J50" s="18">
        <f t="shared" si="0"/>
        <v>3.4372159961111115</v>
      </c>
      <c r="L50" s="16">
        <f>Test!B256</f>
        <v>383.65839999999997</v>
      </c>
      <c r="M50" s="17">
        <f>Test!C256</f>
        <v>32.181100000000001</v>
      </c>
      <c r="N50" s="17">
        <f>Test!D256</f>
        <v>37.4422</v>
      </c>
      <c r="O50" s="17">
        <f>Test!E256</f>
        <v>37.688800000000001</v>
      </c>
      <c r="P50" s="17">
        <f>Test!F256</f>
        <v>12368.239822899999</v>
      </c>
      <c r="Q50" s="17">
        <f>Test!G256</f>
        <v>7.5155479908</v>
      </c>
      <c r="R50" s="18">
        <f t="shared" si="1"/>
        <v>3.4356221730277774</v>
      </c>
      <c r="S50" s="13">
        <f t="shared" si="2"/>
        <v>0.99953630406551786</v>
      </c>
      <c r="T50" s="13">
        <f t="shared" si="3"/>
        <v>0.9600859684112697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71</v>
      </c>
      <c r="C51" s="24">
        <v>22</v>
      </c>
      <c r="D51" s="9">
        <f>Reference!B257</f>
        <v>3660.2671999999998</v>
      </c>
      <c r="E51" s="10">
        <f>Reference!C257</f>
        <v>40.444899999999997</v>
      </c>
      <c r="F51" s="10">
        <f>Reference!D257</f>
        <v>43.528700000000001</v>
      </c>
      <c r="G51" s="10">
        <f>Reference!E257</f>
        <v>45.007800000000003</v>
      </c>
      <c r="H51" s="10">
        <f>Reference!F257</f>
        <v>27793.2649012</v>
      </c>
      <c r="I51" s="10">
        <f>Reference!G257</f>
        <v>20.145214796099999</v>
      </c>
      <c r="J51" s="11">
        <f t="shared" si="0"/>
        <v>7.7203513614444441</v>
      </c>
      <c r="L51" s="9">
        <f>Test!B257</f>
        <v>3660.2656000000002</v>
      </c>
      <c r="M51" s="10">
        <f>Test!C257</f>
        <v>40.444899999999997</v>
      </c>
      <c r="N51" s="10">
        <f>Test!D257</f>
        <v>43.528700000000001</v>
      </c>
      <c r="O51" s="10">
        <f>Test!E257</f>
        <v>45.007800000000003</v>
      </c>
      <c r="P51" s="10">
        <f>Test!F257</f>
        <v>27215.469321</v>
      </c>
      <c r="Q51" s="10">
        <f>Test!G257</f>
        <v>18.415597915599999</v>
      </c>
      <c r="R51" s="11">
        <f t="shared" si="1"/>
        <v>7.5598525891666668</v>
      </c>
      <c r="S51" s="13">
        <f t="shared" si="2"/>
        <v>0.97921094976592504</v>
      </c>
      <c r="T51" s="13">
        <f t="shared" si="3"/>
        <v>0.91414254461884203</v>
      </c>
      <c r="U51" s="48"/>
      <c r="V51" s="30">
        <f>bdrate($D51:$D54,E51:E54,$L51:$L54,M51:M54)</f>
        <v>-1.6643847191577521E-6</v>
      </c>
      <c r="W51" s="35">
        <f>bdrate($D51:$D54,F51:F54,$L51:$L54,N51:N54)</f>
        <v>-1.4723506374103579E-6</v>
      </c>
      <c r="X51" s="35">
        <f>bdrate($D51:$D54,G51:G54,$L51:$L54,O51:O54)</f>
        <v>-1.4316655425616887E-6</v>
      </c>
      <c r="Y51" s="33">
        <f>bdrateOld($D51:$D54,E51:E54,$L51:$L54,M51:M54)</f>
        <v>-1.6652550618445616E-6</v>
      </c>
      <c r="Z51" s="37">
        <f>bdrateOld($D51:$D54,F51:F54,$L51:$L54,N51:N54)</f>
        <v>-1.5036743181706669E-6</v>
      </c>
      <c r="AA51" s="38">
        <f>bdrateOld($D51:$D54,G51:G54,$L51:$L54,O51:O54)</f>
        <v>-1.4676187435336274E-6</v>
      </c>
    </row>
    <row r="52" spans="1:27" x14ac:dyDescent="0.2">
      <c r="A52" s="25"/>
      <c r="B52" s="25"/>
      <c r="C52" s="25">
        <v>27</v>
      </c>
      <c r="D52" s="12">
        <f>Reference!B258</f>
        <v>1608.0192</v>
      </c>
      <c r="E52" s="13">
        <f>Reference!C258</f>
        <v>37.510399999999997</v>
      </c>
      <c r="F52" s="13">
        <f>Reference!D258</f>
        <v>41.419800000000002</v>
      </c>
      <c r="G52" s="13">
        <f>Reference!E258</f>
        <v>42.571399999999997</v>
      </c>
      <c r="H52" s="13">
        <f>Reference!F258</f>
        <v>19232.4868021</v>
      </c>
      <c r="I52" s="13">
        <f>Reference!G258</f>
        <v>14.534423112900001</v>
      </c>
      <c r="J52" s="14">
        <f t="shared" si="0"/>
        <v>5.342357445027778</v>
      </c>
      <c r="L52" s="12">
        <f>Test!B258</f>
        <v>1608.0175999999999</v>
      </c>
      <c r="M52" s="13">
        <f>Test!C258</f>
        <v>37.510399999999997</v>
      </c>
      <c r="N52" s="13">
        <f>Test!D258</f>
        <v>41.419800000000002</v>
      </c>
      <c r="O52" s="13">
        <f>Test!E258</f>
        <v>42.571399999999997</v>
      </c>
      <c r="P52" s="13">
        <f>Test!F258</f>
        <v>19046.198294900001</v>
      </c>
      <c r="Q52" s="13">
        <f>Test!G258</f>
        <v>13.021886825599999</v>
      </c>
      <c r="R52" s="14">
        <f t="shared" si="1"/>
        <v>5.2906106374722226</v>
      </c>
      <c r="S52" s="13">
        <f t="shared" si="2"/>
        <v>0.99031386273044741</v>
      </c>
      <c r="T52" s="13">
        <f t="shared" si="3"/>
        <v>0.89593420560616865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Reference!B259</f>
        <v>793.64559999999994</v>
      </c>
      <c r="E53" s="13">
        <f>Reference!C259</f>
        <v>34.570599999999999</v>
      </c>
      <c r="F53" s="13">
        <f>Reference!D259</f>
        <v>39.781199999999998</v>
      </c>
      <c r="G53" s="13">
        <f>Reference!E259</f>
        <v>40.743000000000002</v>
      </c>
      <c r="H53" s="13">
        <f>Reference!F259</f>
        <v>14200.2190111</v>
      </c>
      <c r="I53" s="13">
        <f>Reference!G259</f>
        <v>11.0793890953</v>
      </c>
      <c r="J53" s="14">
        <f t="shared" si="0"/>
        <v>3.9445052808611112</v>
      </c>
      <c r="L53" s="12">
        <f>Test!B259</f>
        <v>793.64400000000001</v>
      </c>
      <c r="M53" s="13">
        <f>Test!C259</f>
        <v>34.570599999999999</v>
      </c>
      <c r="N53" s="13">
        <f>Test!D259</f>
        <v>39.781199999999998</v>
      </c>
      <c r="O53" s="13">
        <f>Test!E259</f>
        <v>40.743000000000002</v>
      </c>
      <c r="P53" s="13">
        <f>Test!F259</f>
        <v>14204.4644921</v>
      </c>
      <c r="Q53" s="13">
        <f>Test!G259</f>
        <v>10.437771081899999</v>
      </c>
      <c r="R53" s="14">
        <f t="shared" si="1"/>
        <v>3.945684581138889</v>
      </c>
      <c r="S53" s="13">
        <f t="shared" si="2"/>
        <v>1.000298972924057</v>
      </c>
      <c r="T53" s="13">
        <f t="shared" si="3"/>
        <v>0.94208904409069072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Reference!B260</f>
        <v>406.608</v>
      </c>
      <c r="E54" s="17">
        <f>Reference!C260</f>
        <v>31.706800000000001</v>
      </c>
      <c r="F54" s="17">
        <f>Reference!D260</f>
        <v>38.5</v>
      </c>
      <c r="G54" s="17">
        <f>Reference!E260</f>
        <v>39.409100000000002</v>
      </c>
      <c r="H54" s="17">
        <f>Reference!F260</f>
        <v>11028.252767100001</v>
      </c>
      <c r="I54" s="17">
        <f>Reference!G260</f>
        <v>8.9218618869800004</v>
      </c>
      <c r="J54" s="18">
        <f t="shared" si="0"/>
        <v>3.0634035464166667</v>
      </c>
      <c r="L54" s="16">
        <f>Test!B260</f>
        <v>406.60640000000001</v>
      </c>
      <c r="M54" s="17">
        <f>Test!C260</f>
        <v>31.706800000000001</v>
      </c>
      <c r="N54" s="17">
        <f>Test!D260</f>
        <v>38.5</v>
      </c>
      <c r="O54" s="17">
        <f>Test!E260</f>
        <v>39.409100000000002</v>
      </c>
      <c r="P54" s="17">
        <f>Test!F260</f>
        <v>10816.7906349</v>
      </c>
      <c r="Q54" s="17">
        <f>Test!G260</f>
        <v>8.1159651279399991</v>
      </c>
      <c r="R54" s="18">
        <f t="shared" si="1"/>
        <v>3.0046640652500001</v>
      </c>
      <c r="S54" s="13">
        <f t="shared" si="2"/>
        <v>0.9808254184351991</v>
      </c>
      <c r="T54" s="13">
        <f t="shared" si="3"/>
        <v>0.90967168408916121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98</v>
      </c>
      <c r="C55" s="24">
        <v>22</v>
      </c>
      <c r="D55" s="9">
        <f>Reference!B261</f>
        <v>6989.9584000000004</v>
      </c>
      <c r="E55" s="10">
        <f>Reference!C261</f>
        <v>38.6402</v>
      </c>
      <c r="F55" s="10">
        <f>Reference!D261</f>
        <v>41.487000000000002</v>
      </c>
      <c r="G55" s="10">
        <f>Reference!E261</f>
        <v>42.426600000000001</v>
      </c>
      <c r="H55" s="10">
        <f>Reference!F261</f>
        <v>32315.147819999998</v>
      </c>
      <c r="I55" s="10">
        <f>Reference!G261</f>
        <v>24.5354528427</v>
      </c>
      <c r="J55" s="11">
        <f t="shared" si="0"/>
        <v>8.97642995</v>
      </c>
      <c r="L55" s="9">
        <f>Test!B261</f>
        <v>6989.9567999999999</v>
      </c>
      <c r="M55" s="10">
        <f>Test!C261</f>
        <v>38.6402</v>
      </c>
      <c r="N55" s="10">
        <f>Test!D261</f>
        <v>41.487000000000002</v>
      </c>
      <c r="O55" s="10">
        <f>Test!E261</f>
        <v>42.426600000000001</v>
      </c>
      <c r="P55" s="10">
        <f>Test!F261</f>
        <v>31826.735527000001</v>
      </c>
      <c r="Q55" s="10">
        <f>Test!G261</f>
        <v>23.8525168896</v>
      </c>
      <c r="R55" s="11">
        <f t="shared" si="1"/>
        <v>8.8407598686111122</v>
      </c>
      <c r="S55" s="13">
        <f t="shared" si="2"/>
        <v>0.9848859644486071</v>
      </c>
      <c r="T55" s="13">
        <f t="shared" si="3"/>
        <v>0.97216534141520061</v>
      </c>
      <c r="U55" s="48"/>
      <c r="V55" s="30">
        <f>bdrate($D55:$D58,E55:E58,$L55:$L58,M55:M58)</f>
        <v>-9.9029202560441121E-7</v>
      </c>
      <c r="W55" s="35">
        <f>bdrate($D55:$D58,F55:F58,$L55:$L58,N55:N58)</f>
        <v>-8.4136684552760244E-7</v>
      </c>
      <c r="X55" s="35">
        <f>bdrate($D55:$D58,G55:G58,$L55:$L58,O55:O58)</f>
        <v>-8.3616932045060821E-7</v>
      </c>
      <c r="Y55" s="33">
        <f>bdrateOld($D55:$D58,E55:E58,$L55:$L58,M55:M58)</f>
        <v>-9.9684717158599057E-7</v>
      </c>
      <c r="Z55" s="37">
        <f>bdrateOld($D55:$D58,F55:F58,$L55:$L58,N55:N58)</f>
        <v>-8.9320302576467725E-7</v>
      </c>
      <c r="AA55" s="38">
        <f>bdrateOld($D55:$D58,G55:G58,$L55:$L58,O55:O58)</f>
        <v>-8.918997448370547E-7</v>
      </c>
    </row>
    <row r="56" spans="1:27" x14ac:dyDescent="0.2">
      <c r="A56" s="25"/>
      <c r="B56" s="25"/>
      <c r="C56" s="25">
        <v>27</v>
      </c>
      <c r="D56" s="12">
        <f>Reference!B262</f>
        <v>2897.7415999999998</v>
      </c>
      <c r="E56" s="13">
        <f>Reference!C262</f>
        <v>34.671999999999997</v>
      </c>
      <c r="F56" s="13">
        <f>Reference!D262</f>
        <v>38.633099999999999</v>
      </c>
      <c r="G56" s="13">
        <f>Reference!E262</f>
        <v>39.4621</v>
      </c>
      <c r="H56" s="13">
        <f>Reference!F262</f>
        <v>21469.833849899998</v>
      </c>
      <c r="I56" s="13">
        <f>Reference!G262</f>
        <v>17.621981859200002</v>
      </c>
      <c r="J56" s="14">
        <f t="shared" si="0"/>
        <v>5.9638427360833326</v>
      </c>
      <c r="L56" s="12">
        <f>Test!B262</f>
        <v>2897.74</v>
      </c>
      <c r="M56" s="13">
        <f>Test!C262</f>
        <v>34.671999999999997</v>
      </c>
      <c r="N56" s="13">
        <f>Test!D262</f>
        <v>38.633099999999999</v>
      </c>
      <c r="O56" s="13">
        <f>Test!E262</f>
        <v>39.4621</v>
      </c>
      <c r="P56" s="13">
        <f>Test!F262</f>
        <v>21102.0744581</v>
      </c>
      <c r="Q56" s="13">
        <f>Test!G262</f>
        <v>16.244644165</v>
      </c>
      <c r="R56" s="14">
        <f t="shared" si="1"/>
        <v>5.8616873494722226</v>
      </c>
      <c r="S56" s="13">
        <f t="shared" si="2"/>
        <v>0.98287087853724997</v>
      </c>
      <c r="T56" s="13">
        <f t="shared" si="3"/>
        <v>0.92183979615885669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Reference!B263</f>
        <v>1297.5663999999999</v>
      </c>
      <c r="E57" s="13">
        <f>Reference!C263</f>
        <v>31.211300000000001</v>
      </c>
      <c r="F57" s="13">
        <f>Reference!D263</f>
        <v>36.734299999999998</v>
      </c>
      <c r="G57" s="13">
        <f>Reference!E263</f>
        <v>37.514800000000001</v>
      </c>
      <c r="H57" s="13">
        <f>Reference!F263</f>
        <v>15167.4244831</v>
      </c>
      <c r="I57" s="13">
        <f>Reference!G263</f>
        <v>13.287660837200001</v>
      </c>
      <c r="J57" s="14">
        <f t="shared" si="0"/>
        <v>4.2131734675277777</v>
      </c>
      <c r="L57" s="12">
        <f>Test!B263</f>
        <v>1297.5648000000001</v>
      </c>
      <c r="M57" s="13">
        <f>Test!C263</f>
        <v>31.211300000000001</v>
      </c>
      <c r="N57" s="13">
        <f>Test!D263</f>
        <v>36.734299999999998</v>
      </c>
      <c r="O57" s="13">
        <f>Test!E263</f>
        <v>37.514800000000001</v>
      </c>
      <c r="P57" s="13">
        <f>Test!F263</f>
        <v>14926.313147999999</v>
      </c>
      <c r="Q57" s="13">
        <f>Test!G263</f>
        <v>12.451838970200001</v>
      </c>
      <c r="R57" s="14">
        <f t="shared" si="1"/>
        <v>4.1461980966666667</v>
      </c>
      <c r="S57" s="13">
        <f t="shared" si="2"/>
        <v>0.98410334362510565</v>
      </c>
      <c r="T57" s="13">
        <f t="shared" si="3"/>
        <v>0.93709789275625988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Reference!B264</f>
        <v>564.55600000000004</v>
      </c>
      <c r="E58" s="17">
        <f>Reference!C264</f>
        <v>28.014600000000002</v>
      </c>
      <c r="F58" s="17">
        <f>Reference!D264</f>
        <v>35.372300000000003</v>
      </c>
      <c r="G58" s="17">
        <f>Reference!E264</f>
        <v>36.126300000000001</v>
      </c>
      <c r="H58" s="17">
        <f>Reference!F264</f>
        <v>11454.7259209</v>
      </c>
      <c r="I58" s="17">
        <f>Reference!G264</f>
        <v>10.277405977200001</v>
      </c>
      <c r="J58" s="18">
        <f t="shared" si="0"/>
        <v>3.1818683113611113</v>
      </c>
      <c r="L58" s="16">
        <f>Test!B264</f>
        <v>564.55439999999999</v>
      </c>
      <c r="M58" s="17">
        <f>Test!C264</f>
        <v>28.014600000000002</v>
      </c>
      <c r="N58" s="17">
        <f>Test!D264</f>
        <v>35.372300000000003</v>
      </c>
      <c r="O58" s="17">
        <f>Test!E264</f>
        <v>36.126300000000001</v>
      </c>
      <c r="P58" s="17">
        <f>Test!F264</f>
        <v>11176.655787899999</v>
      </c>
      <c r="Q58" s="17">
        <f>Test!G264</f>
        <v>9.5409090518999999</v>
      </c>
      <c r="R58" s="18">
        <f t="shared" si="1"/>
        <v>3.1046266077499998</v>
      </c>
      <c r="S58" s="13">
        <f t="shared" si="2"/>
        <v>0.97572441846970415</v>
      </c>
      <c r="T58" s="13">
        <f t="shared" si="3"/>
        <v>0.9283382473229248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77</v>
      </c>
      <c r="C59" s="24">
        <v>22</v>
      </c>
      <c r="D59" s="9">
        <f>Reference!B265</f>
        <v>5195.1023999999998</v>
      </c>
      <c r="E59" s="10">
        <f>Reference!C265</f>
        <v>40.140999999999998</v>
      </c>
      <c r="F59" s="10">
        <f>Reference!D265</f>
        <v>41.728900000000003</v>
      </c>
      <c r="G59" s="10">
        <f>Reference!E265</f>
        <v>43.052100000000003</v>
      </c>
      <c r="H59" s="10">
        <f>Reference!F265</f>
        <v>27025.271434800001</v>
      </c>
      <c r="I59" s="10">
        <f>Reference!G265</f>
        <v>15.2237999439</v>
      </c>
      <c r="J59" s="11">
        <f t="shared" ref="J59:J90" si="4">H59/3600</f>
        <v>7.5070198430000001</v>
      </c>
      <c r="L59" s="9">
        <f>Test!B265</f>
        <v>5195.1008000000002</v>
      </c>
      <c r="M59" s="10">
        <f>Test!C265</f>
        <v>40.140999999999998</v>
      </c>
      <c r="N59" s="10">
        <f>Test!D265</f>
        <v>41.728900000000003</v>
      </c>
      <c r="O59" s="10">
        <f>Test!E265</f>
        <v>43.052100000000003</v>
      </c>
      <c r="P59" s="10">
        <f>Test!F265</f>
        <v>26430.379199999999</v>
      </c>
      <c r="Q59" s="10">
        <f>Test!G265</f>
        <v>13.808934926999999</v>
      </c>
      <c r="R59" s="11">
        <f t="shared" ref="R59:R90" si="5">P59/3600</f>
        <v>7.3417719999999997</v>
      </c>
      <c r="S59" s="13">
        <f t="shared" ref="S59:S90" si="6">P59/H59</f>
        <v>0.97798755745209764</v>
      </c>
      <c r="T59" s="13">
        <f t="shared" ref="T59:T90" si="7">Q59/I59</f>
        <v>0.90706229573997255</v>
      </c>
      <c r="U59" s="48"/>
      <c r="V59" s="30">
        <f>bdrate($D59:$D62,E59:E62,$L59:$L62,M59:M62)</f>
        <v>-1.3745147445787254E-6</v>
      </c>
      <c r="W59" s="35">
        <f>bdrate($D59:$D62,F59:F62,$L59:$L62,N59:N62)</f>
        <v>-1.1752420064903291E-6</v>
      </c>
      <c r="X59" s="35">
        <f>bdrate($D59:$D62,G59:G62,$L59:$L62,O59:O62)</f>
        <v>-1.2216207587734118E-6</v>
      </c>
      <c r="Y59" s="33">
        <f>bdrateOld($D59:$D62,E59:E62,$L59:$L62,M59:M62)</f>
        <v>-1.3856355887131855E-6</v>
      </c>
      <c r="Z59" s="37">
        <f>bdrateOld($D59:$D62,F59:F62,$L59:$L62,N59:N62)</f>
        <v>-1.2503235437000271E-6</v>
      </c>
      <c r="AA59" s="38">
        <f>bdrateOld($D59:$D62,G59:G62,$L59:$L62,O59:O62)</f>
        <v>-1.2643921583066486E-6</v>
      </c>
    </row>
    <row r="60" spans="1:27" x14ac:dyDescent="0.2">
      <c r="A60" s="25"/>
      <c r="B60" s="25"/>
      <c r="C60" s="25">
        <v>27</v>
      </c>
      <c r="D60" s="12">
        <f>Reference!B266</f>
        <v>1980.0192</v>
      </c>
      <c r="E60" s="13">
        <f>Reference!C266</f>
        <v>36.362499999999997</v>
      </c>
      <c r="F60" s="13">
        <f>Reference!D266</f>
        <v>39.037199999999999</v>
      </c>
      <c r="G60" s="13">
        <f>Reference!E266</f>
        <v>40.657200000000003</v>
      </c>
      <c r="H60" s="13">
        <f>Reference!F266</f>
        <v>17215.744524999998</v>
      </c>
      <c r="I60" s="13">
        <f>Reference!G266</f>
        <v>10.457282066299999</v>
      </c>
      <c r="J60" s="14">
        <f t="shared" si="4"/>
        <v>4.7821512569444442</v>
      </c>
      <c r="L60" s="12">
        <f>Test!B266</f>
        <v>1980.0175999999999</v>
      </c>
      <c r="M60" s="13">
        <f>Test!C266</f>
        <v>36.362499999999997</v>
      </c>
      <c r="N60" s="13">
        <f>Test!D266</f>
        <v>39.037199999999999</v>
      </c>
      <c r="O60" s="13">
        <f>Test!E266</f>
        <v>40.657200000000003</v>
      </c>
      <c r="P60" s="13">
        <f>Test!F266</f>
        <v>16830.2409592</v>
      </c>
      <c r="Q60" s="13">
        <f>Test!G266</f>
        <v>9.8127219676999999</v>
      </c>
      <c r="R60" s="14">
        <f t="shared" si="5"/>
        <v>4.6750669331111112</v>
      </c>
      <c r="S60" s="13">
        <f t="shared" si="6"/>
        <v>0.97760749962104831</v>
      </c>
      <c r="T60" s="13">
        <f t="shared" si="7"/>
        <v>0.93836255974416327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Reference!B267</f>
        <v>899.75840000000005</v>
      </c>
      <c r="E61" s="13">
        <f>Reference!C267</f>
        <v>33.309600000000003</v>
      </c>
      <c r="F61" s="13">
        <f>Reference!D267</f>
        <v>37.274900000000002</v>
      </c>
      <c r="G61" s="13">
        <f>Reference!E267</f>
        <v>39.087200000000003</v>
      </c>
      <c r="H61" s="13">
        <f>Reference!F267</f>
        <v>13101.214533099999</v>
      </c>
      <c r="I61" s="13">
        <f>Reference!G267</f>
        <v>8.2539241313900007</v>
      </c>
      <c r="J61" s="14">
        <f t="shared" si="4"/>
        <v>3.6392262591944444</v>
      </c>
      <c r="L61" s="12">
        <f>Test!B267</f>
        <v>899.7568</v>
      </c>
      <c r="M61" s="13">
        <f>Test!C267</f>
        <v>33.309600000000003</v>
      </c>
      <c r="N61" s="13">
        <f>Test!D267</f>
        <v>37.274900000000002</v>
      </c>
      <c r="O61" s="13">
        <f>Test!E267</f>
        <v>39.087200000000003</v>
      </c>
      <c r="P61" s="13">
        <f>Test!F267</f>
        <v>12898.338383</v>
      </c>
      <c r="Q61" s="13">
        <f>Test!G267</f>
        <v>7.7162249088300001</v>
      </c>
      <c r="R61" s="14">
        <f t="shared" si="5"/>
        <v>3.5828717730555555</v>
      </c>
      <c r="S61" s="13">
        <f t="shared" si="6"/>
        <v>0.98451470666422292</v>
      </c>
      <c r="T61" s="13">
        <f t="shared" si="7"/>
        <v>0.93485532287423034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Reference!B268</f>
        <v>415.952</v>
      </c>
      <c r="E62" s="17">
        <f>Reference!C268</f>
        <v>30.48</v>
      </c>
      <c r="F62" s="17">
        <f>Reference!D268</f>
        <v>36.055999999999997</v>
      </c>
      <c r="G62" s="17">
        <f>Reference!E268</f>
        <v>37.857399999999998</v>
      </c>
      <c r="H62" s="17">
        <f>Reference!F268</f>
        <v>9532.5860230899998</v>
      </c>
      <c r="I62" s="17">
        <f>Reference!G268</f>
        <v>6.3489470481900003</v>
      </c>
      <c r="J62" s="18">
        <f t="shared" si="4"/>
        <v>2.6479405619694445</v>
      </c>
      <c r="L62" s="16">
        <f>Test!B268</f>
        <v>415.9504</v>
      </c>
      <c r="M62" s="17">
        <f>Test!C268</f>
        <v>30.48</v>
      </c>
      <c r="N62" s="17">
        <f>Test!D268</f>
        <v>36.055999999999997</v>
      </c>
      <c r="O62" s="17">
        <f>Test!E268</f>
        <v>37.857399999999998</v>
      </c>
      <c r="P62" s="17">
        <f>Test!F268</f>
        <v>9422.1739990700007</v>
      </c>
      <c r="Q62" s="17">
        <f>Test!G268</f>
        <v>5.9862549305000003</v>
      </c>
      <c r="R62" s="18">
        <f t="shared" si="5"/>
        <v>2.6172705552972224</v>
      </c>
      <c r="S62" s="17">
        <f t="shared" si="6"/>
        <v>0.98841741120903004</v>
      </c>
      <c r="T62" s="17">
        <f t="shared" si="7"/>
        <v>0.94287365842917237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17</v>
      </c>
      <c r="B63" s="24" t="s">
        <v>74</v>
      </c>
      <c r="C63" s="24">
        <f>C59</f>
        <v>22</v>
      </c>
      <c r="D63" s="9">
        <v>1069.2639999999999</v>
      </c>
      <c r="E63" s="10">
        <v>42.341099999999997</v>
      </c>
      <c r="F63" s="10">
        <v>44.632199999999997</v>
      </c>
      <c r="G63" s="10">
        <v>44.301699999999997</v>
      </c>
      <c r="H63" s="10">
        <v>177.81100000000001</v>
      </c>
      <c r="I63" s="10">
        <v>0.158</v>
      </c>
      <c r="J63" s="11">
        <f t="shared" si="4"/>
        <v>4.9391944444444447E-2</v>
      </c>
      <c r="L63" s="9">
        <v>973.66800000000001</v>
      </c>
      <c r="M63" s="10">
        <v>41.892000000000003</v>
      </c>
      <c r="N63" s="10">
        <v>44.199199999999998</v>
      </c>
      <c r="O63" s="10">
        <v>43.838799999999999</v>
      </c>
      <c r="P63" s="10">
        <v>172.40100000000001</v>
      </c>
      <c r="Q63" s="10">
        <v>0.153</v>
      </c>
      <c r="R63" s="11">
        <f t="shared" si="5"/>
        <v>4.788916666666667E-2</v>
      </c>
      <c r="S63" s="10">
        <f t="shared" si="6"/>
        <v>0.96957443577731417</v>
      </c>
      <c r="T63" s="10">
        <f t="shared" si="7"/>
        <v>0.96835443037974678</v>
      </c>
      <c r="U63" s="47"/>
      <c r="V63" s="30">
        <f>bdrate($D63:$D66,E63:E66,$L63:$L66,M63:M66)</f>
        <v>-1.3237802113420738E-2</v>
      </c>
      <c r="W63" s="35">
        <f>bdrate($D63:$D66,F63:F66,$L63:$L66,N63:N66)</f>
        <v>-1.7455353579637345E-2</v>
      </c>
      <c r="X63" s="36">
        <f>bdrate($D63:$D66,G63:G66,$L63:$L66,O63:O66)</f>
        <v>-1.039410380630057E-2</v>
      </c>
      <c r="Y63" s="30">
        <f>bdrateOld($D63:$D66,E63:E66,$L63:$L66,M63:M66)</f>
        <v>-1.3194301926362173E-2</v>
      </c>
      <c r="Z63" s="35">
        <f>bdrateOld($D63:$D66,F63:F66,$L63:$L66,N63:N66)</f>
        <v>-1.7842972411050262E-2</v>
      </c>
      <c r="AA63" s="36">
        <f>bdrateOld($D63:$D66,G63:G66,$L63:$L66,O63:O66)</f>
        <v>-8.8873108955733748E-3</v>
      </c>
    </row>
    <row r="64" spans="1:27" x14ac:dyDescent="0.2">
      <c r="A64" s="25" t="s">
        <v>99</v>
      </c>
      <c r="B64" s="25"/>
      <c r="C64" s="25">
        <f>C60</f>
        <v>27</v>
      </c>
      <c r="D64" s="12">
        <v>520.928</v>
      </c>
      <c r="E64" s="13">
        <v>38.397100000000002</v>
      </c>
      <c r="F64" s="13">
        <v>42.104300000000002</v>
      </c>
      <c r="G64" s="13">
        <v>41.450299999999999</v>
      </c>
      <c r="H64" s="13">
        <v>151.30000000000001</v>
      </c>
      <c r="I64" s="13">
        <v>0.125</v>
      </c>
      <c r="J64" s="14">
        <f t="shared" si="4"/>
        <v>4.2027777777777782E-2</v>
      </c>
      <c r="L64" s="12">
        <v>476.48</v>
      </c>
      <c r="M64" s="13">
        <v>37.993200000000002</v>
      </c>
      <c r="N64" s="13">
        <v>41.956400000000002</v>
      </c>
      <c r="O64" s="13">
        <v>41.23</v>
      </c>
      <c r="P64" s="13">
        <v>143.97499999999999</v>
      </c>
      <c r="Q64" s="13">
        <v>0.11799999999999999</v>
      </c>
      <c r="R64" s="14">
        <f t="shared" si="5"/>
        <v>3.9993055555555553E-2</v>
      </c>
      <c r="S64" s="13">
        <f t="shared" si="6"/>
        <v>0.95158625247851936</v>
      </c>
      <c r="T64" s="13">
        <f t="shared" si="7"/>
        <v>0.94399999999999995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v>263.63600000000002</v>
      </c>
      <c r="E65" s="13">
        <v>34.983800000000002</v>
      </c>
      <c r="F65" s="13">
        <v>40.363100000000003</v>
      </c>
      <c r="G65" s="13">
        <v>39.380899999999997</v>
      </c>
      <c r="H65" s="13">
        <v>116.169</v>
      </c>
      <c r="I65" s="13">
        <v>0.105</v>
      </c>
      <c r="J65" s="14">
        <f t="shared" si="4"/>
        <v>3.2269166666666668E-2</v>
      </c>
      <c r="L65" s="12">
        <v>242.084</v>
      </c>
      <c r="M65" s="13">
        <v>34.653599999999997</v>
      </c>
      <c r="N65" s="13">
        <v>40.204900000000002</v>
      </c>
      <c r="O65" s="13">
        <v>39.193300000000001</v>
      </c>
      <c r="P65" s="13">
        <v>114.85899999999999</v>
      </c>
      <c r="Q65" s="13">
        <v>9.4E-2</v>
      </c>
      <c r="R65" s="14">
        <f t="shared" si="5"/>
        <v>3.1905277777777775E-2</v>
      </c>
      <c r="S65" s="13">
        <f t="shared" si="6"/>
        <v>0.98872332549991815</v>
      </c>
      <c r="T65" s="13">
        <f t="shared" si="7"/>
        <v>0.89523809523809528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v>138.56</v>
      </c>
      <c r="E66" s="17">
        <v>32.159799999999997</v>
      </c>
      <c r="F66" s="17">
        <v>38.994100000000003</v>
      </c>
      <c r="G66" s="17">
        <v>37.973100000000002</v>
      </c>
      <c r="H66" s="17">
        <v>84.927999999999997</v>
      </c>
      <c r="I66" s="17">
        <v>9.6000000000000002E-2</v>
      </c>
      <c r="J66" s="18">
        <f t="shared" si="4"/>
        <v>2.3591111111111111E-2</v>
      </c>
      <c r="L66" s="16">
        <v>126.94799999999999</v>
      </c>
      <c r="M66" s="17">
        <v>31.8598</v>
      </c>
      <c r="N66" s="17">
        <v>38.726100000000002</v>
      </c>
      <c r="O66" s="17">
        <v>37.709699999999998</v>
      </c>
      <c r="P66" s="17">
        <v>79.293000000000006</v>
      </c>
      <c r="Q66" s="17">
        <v>8.5999999999999993E-2</v>
      </c>
      <c r="R66" s="18">
        <f t="shared" si="5"/>
        <v>2.2025833333333335E-2</v>
      </c>
      <c r="S66" s="13">
        <f t="shared" si="6"/>
        <v>0.93364967972871149</v>
      </c>
      <c r="T66" s="13">
        <f t="shared" si="7"/>
        <v>0.89583333333333326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75</v>
      </c>
      <c r="C67" s="24">
        <v>22</v>
      </c>
      <c r="D67" s="9">
        <v>1789.6751999999999</v>
      </c>
      <c r="E67" s="10">
        <v>39.355400000000003</v>
      </c>
      <c r="F67" s="10">
        <v>43.039700000000003</v>
      </c>
      <c r="G67" s="10">
        <v>44.022399999999998</v>
      </c>
      <c r="H67" s="10">
        <v>212.71799999999999</v>
      </c>
      <c r="I67" s="10">
        <v>0.26700000000000002</v>
      </c>
      <c r="J67" s="11">
        <f t="shared" si="4"/>
        <v>5.9088333333333333E-2</v>
      </c>
      <c r="L67" s="9">
        <v>1595.5968</v>
      </c>
      <c r="M67" s="10">
        <v>38.869199999999999</v>
      </c>
      <c r="N67" s="10">
        <v>42.819600000000001</v>
      </c>
      <c r="O67" s="10">
        <v>43.833300000000001</v>
      </c>
      <c r="P67" s="10">
        <v>204.904</v>
      </c>
      <c r="Q67" s="10">
        <v>0.26100000000000001</v>
      </c>
      <c r="R67" s="11">
        <f t="shared" si="5"/>
        <v>5.6917777777777775E-2</v>
      </c>
      <c r="S67" s="13">
        <f t="shared" si="6"/>
        <v>0.96326592013839918</v>
      </c>
      <c r="T67" s="13">
        <f t="shared" si="7"/>
        <v>0.97752808988764039</v>
      </c>
      <c r="U67" s="48"/>
      <c r="V67" s="30">
        <f>bdrate($D67:$D70,E67:E70,$L67:$L70,M67:M70)</f>
        <v>-8.9347780082075223E-3</v>
      </c>
      <c r="W67" s="35">
        <f>bdrate($D67:$D70,F67:F70,$L67:$L70,N67:N70)</f>
        <v>-5.6336205756511881E-2</v>
      </c>
      <c r="X67" s="35">
        <f>bdrate($D67:$D70,G67:G70,$L67:$L70,O67:O70)</f>
        <v>-6.6052504816997204E-2</v>
      </c>
      <c r="Y67" s="33">
        <f>bdrateOld($D67:$D70,E67:E70,$L67:$L70,M67:M70)</f>
        <v>-8.6626275614546389E-3</v>
      </c>
      <c r="Z67" s="37">
        <f>bdrateOld($D67:$D70,F67:F70,$L67:$L70,N67:N70)</f>
        <v>-5.176107777902883E-2</v>
      </c>
      <c r="AA67" s="38">
        <f>bdrateOld($D67:$D70,G67:G70,$L67:$L70,O67:O70)</f>
        <v>-6.3157812833150695E-2</v>
      </c>
    </row>
    <row r="68" spans="1:27" x14ac:dyDescent="0.2">
      <c r="A68" s="25"/>
      <c r="B68" s="25"/>
      <c r="C68" s="25">
        <v>27</v>
      </c>
      <c r="D68" s="12">
        <v>676.17600000000004</v>
      </c>
      <c r="E68" s="13">
        <v>35.3324</v>
      </c>
      <c r="F68" s="13">
        <v>41.030799999999999</v>
      </c>
      <c r="G68" s="13">
        <v>42.163899999999998</v>
      </c>
      <c r="H68" s="13">
        <v>144.06700000000001</v>
      </c>
      <c r="I68" s="13">
        <v>0.2</v>
      </c>
      <c r="J68" s="14">
        <f t="shared" si="4"/>
        <v>4.0018611111111116E-2</v>
      </c>
      <c r="L68" s="12">
        <v>614.90880000000004</v>
      </c>
      <c r="M68" s="13">
        <v>34.960500000000003</v>
      </c>
      <c r="N68" s="13">
        <v>41.022500000000001</v>
      </c>
      <c r="O68" s="13">
        <v>42.136699999999998</v>
      </c>
      <c r="P68" s="13">
        <v>138.221</v>
      </c>
      <c r="Q68" s="13">
        <v>0.19</v>
      </c>
      <c r="R68" s="14">
        <f t="shared" si="5"/>
        <v>3.8394722222222226E-2</v>
      </c>
      <c r="S68" s="13">
        <f t="shared" si="6"/>
        <v>0.95942165797857937</v>
      </c>
      <c r="T68" s="13">
        <f t="shared" si="7"/>
        <v>0.95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v>301.32</v>
      </c>
      <c r="E69" s="13">
        <v>31.970199999999998</v>
      </c>
      <c r="F69" s="13">
        <v>39.593499999999999</v>
      </c>
      <c r="G69" s="13">
        <v>40.5062</v>
      </c>
      <c r="H69" s="13">
        <v>99.393000000000001</v>
      </c>
      <c r="I69" s="13">
        <v>0.17299999999999999</v>
      </c>
      <c r="J69" s="14">
        <f t="shared" si="4"/>
        <v>2.7609166666666667E-2</v>
      </c>
      <c r="L69" s="12">
        <v>275.59679999999997</v>
      </c>
      <c r="M69" s="13">
        <v>31.6753</v>
      </c>
      <c r="N69" s="13">
        <v>39.522399999999998</v>
      </c>
      <c r="O69" s="13">
        <v>40.517899999999997</v>
      </c>
      <c r="P69" s="13">
        <v>95.712999999999994</v>
      </c>
      <c r="Q69" s="13">
        <v>0.153</v>
      </c>
      <c r="R69" s="14">
        <f t="shared" si="5"/>
        <v>2.6586944444444444E-2</v>
      </c>
      <c r="S69" s="13">
        <f t="shared" si="6"/>
        <v>0.96297525982715071</v>
      </c>
      <c r="T69" s="13">
        <f t="shared" si="7"/>
        <v>0.88439306358381509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v>144.3312</v>
      </c>
      <c r="E70" s="17">
        <v>28.975100000000001</v>
      </c>
      <c r="F70" s="17">
        <v>38.815899999999999</v>
      </c>
      <c r="G70" s="17">
        <v>39.351500000000001</v>
      </c>
      <c r="H70" s="17">
        <v>81.337000000000003</v>
      </c>
      <c r="I70" s="17">
        <v>0.13200000000000001</v>
      </c>
      <c r="J70" s="18">
        <f t="shared" si="4"/>
        <v>2.2593611111111113E-2</v>
      </c>
      <c r="L70" s="16">
        <v>134.39519999999999</v>
      </c>
      <c r="M70" s="17">
        <v>28.747599999999998</v>
      </c>
      <c r="N70" s="17">
        <v>38.743499999999997</v>
      </c>
      <c r="O70" s="17">
        <v>39.215400000000002</v>
      </c>
      <c r="P70" s="17">
        <v>79.953000000000003</v>
      </c>
      <c r="Q70" s="17">
        <v>0.12</v>
      </c>
      <c r="R70" s="18">
        <f t="shared" si="5"/>
        <v>2.2209166666666669E-2</v>
      </c>
      <c r="S70" s="13">
        <f t="shared" si="6"/>
        <v>0.98298437365528601</v>
      </c>
      <c r="T70" s="13">
        <f t="shared" si="7"/>
        <v>0.90909090909090906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76</v>
      </c>
      <c r="C71" s="24">
        <v>22</v>
      </c>
      <c r="D71" s="9">
        <v>1728.288</v>
      </c>
      <c r="E71" s="10">
        <v>38.837899999999998</v>
      </c>
      <c r="F71" s="10">
        <v>41.203699999999998</v>
      </c>
      <c r="G71" s="10">
        <v>42.369599999999998</v>
      </c>
      <c r="H71" s="10">
        <v>336.19499999999999</v>
      </c>
      <c r="I71" s="10">
        <v>0.28199999999999997</v>
      </c>
      <c r="J71" s="11">
        <f t="shared" si="4"/>
        <v>9.3387499999999998E-2</v>
      </c>
      <c r="L71" s="9">
        <v>1550.4359999999999</v>
      </c>
      <c r="M71" s="10">
        <v>38.346499999999999</v>
      </c>
      <c r="N71" s="10">
        <v>40.829900000000002</v>
      </c>
      <c r="O71" s="10">
        <v>41.969200000000001</v>
      </c>
      <c r="P71" s="10">
        <v>323.15800000000002</v>
      </c>
      <c r="Q71" s="10">
        <v>0.27700000000000002</v>
      </c>
      <c r="R71" s="11">
        <f t="shared" si="5"/>
        <v>8.9766111111111116E-2</v>
      </c>
      <c r="S71" s="13">
        <f t="shared" si="6"/>
        <v>0.96122190990347867</v>
      </c>
      <c r="T71" s="13">
        <f t="shared" si="7"/>
        <v>0.98226950354609943</v>
      </c>
      <c r="U71" s="48"/>
      <c r="V71" s="30">
        <f>bdrate($D71:$D74,E71:E74,$L71:$L74,M71:M74)</f>
        <v>2.2332614196476364E-3</v>
      </c>
      <c r="W71" s="35">
        <f>bdrate($D71:$D74,F71:F74,$L71:$L74,N71:N74)</f>
        <v>-2.5294402966504426E-2</v>
      </c>
      <c r="X71" s="35">
        <f>bdrate($D71:$D74,G71:G74,$L71:$L74,O71:O74)</f>
        <v>-2.1257775042833105E-2</v>
      </c>
      <c r="Y71" s="33">
        <f>bdrateOld($D71:$D74,E71:E74,$L71:$L74,M71:M74)</f>
        <v>2.0742040480121737E-3</v>
      </c>
      <c r="Z71" s="37">
        <f>bdrateOld($D71:$D74,F71:F74,$L71:$L74,N71:N74)</f>
        <v>-2.0864120144804987E-2</v>
      </c>
      <c r="AA71" s="38">
        <f>bdrateOld($D71:$D74,G71:G74,$L71:$L74,O71:O74)</f>
        <v>-1.7217807639839933E-2</v>
      </c>
    </row>
    <row r="72" spans="1:27" x14ac:dyDescent="0.2">
      <c r="A72" s="25"/>
      <c r="B72" s="25"/>
      <c r="C72" s="25">
        <v>27</v>
      </c>
      <c r="D72" s="12">
        <v>769.62</v>
      </c>
      <c r="E72" s="13">
        <v>35.452599999999997</v>
      </c>
      <c r="F72" s="13">
        <v>38.853400000000001</v>
      </c>
      <c r="G72" s="13">
        <v>39.766399999999997</v>
      </c>
      <c r="H72" s="13">
        <v>234.88499999999999</v>
      </c>
      <c r="I72" s="13">
        <v>0.19400000000000001</v>
      </c>
      <c r="J72" s="14">
        <f t="shared" si="4"/>
        <v>6.5245833333333336E-2</v>
      </c>
      <c r="L72" s="12">
        <v>698.00400000000002</v>
      </c>
      <c r="M72" s="13">
        <v>35.035800000000002</v>
      </c>
      <c r="N72" s="13">
        <v>38.7271</v>
      </c>
      <c r="O72" s="13">
        <v>39.650100000000002</v>
      </c>
      <c r="P72" s="13">
        <v>225.40799999999999</v>
      </c>
      <c r="Q72" s="13">
        <v>0.188</v>
      </c>
      <c r="R72" s="14">
        <f t="shared" si="5"/>
        <v>6.2613333333333326E-2</v>
      </c>
      <c r="S72" s="13">
        <f t="shared" si="6"/>
        <v>0.95965259595121011</v>
      </c>
      <c r="T72" s="13">
        <f t="shared" si="7"/>
        <v>0.96907216494845361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v>349.22800000000001</v>
      </c>
      <c r="E73" s="13">
        <v>32.302700000000002</v>
      </c>
      <c r="F73" s="13">
        <v>37.134</v>
      </c>
      <c r="G73" s="13">
        <v>37.943800000000003</v>
      </c>
      <c r="H73" s="13">
        <v>166.08699999999999</v>
      </c>
      <c r="I73" s="13">
        <v>0.14399999999999999</v>
      </c>
      <c r="J73" s="14">
        <f t="shared" si="4"/>
        <v>4.6135277777777775E-2</v>
      </c>
      <c r="L73" s="12">
        <v>318.50400000000002</v>
      </c>
      <c r="M73" s="13">
        <v>31.947600000000001</v>
      </c>
      <c r="N73" s="13">
        <v>37.023400000000002</v>
      </c>
      <c r="O73" s="13">
        <v>37.773800000000001</v>
      </c>
      <c r="P73" s="13">
        <v>162.667</v>
      </c>
      <c r="Q73" s="13">
        <v>0.13200000000000001</v>
      </c>
      <c r="R73" s="14">
        <f t="shared" si="5"/>
        <v>4.5185277777777776E-2</v>
      </c>
      <c r="S73" s="13">
        <f t="shared" si="6"/>
        <v>0.97940838235382666</v>
      </c>
      <c r="T73" s="13">
        <f t="shared" si="7"/>
        <v>0.91666666666666674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v>162.05199999999999</v>
      </c>
      <c r="E74" s="17">
        <v>29.499300000000002</v>
      </c>
      <c r="F74" s="17">
        <v>36.072699999999998</v>
      </c>
      <c r="G74" s="17">
        <v>36.886099999999999</v>
      </c>
      <c r="H74" s="17">
        <v>130.97</v>
      </c>
      <c r="I74" s="17">
        <v>0.109</v>
      </c>
      <c r="J74" s="18">
        <f t="shared" si="4"/>
        <v>3.6380555555555555E-2</v>
      </c>
      <c r="L74" s="16">
        <v>147.97999999999999</v>
      </c>
      <c r="M74" s="17">
        <v>29.226800000000001</v>
      </c>
      <c r="N74" s="17">
        <v>35.869999999999997</v>
      </c>
      <c r="O74" s="17">
        <v>36.660800000000002</v>
      </c>
      <c r="P74" s="17">
        <v>126.422</v>
      </c>
      <c r="Q74" s="17">
        <v>0.107</v>
      </c>
      <c r="R74" s="18">
        <f t="shared" si="5"/>
        <v>3.5117222222222223E-2</v>
      </c>
      <c r="S74" s="13">
        <f t="shared" si="6"/>
        <v>0.96527449034129953</v>
      </c>
      <c r="T74" s="13">
        <f t="shared" si="7"/>
        <v>0.98165137614678899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77</v>
      </c>
      <c r="C75" s="24">
        <v>22</v>
      </c>
      <c r="D75" s="9">
        <v>1347.048</v>
      </c>
      <c r="E75" s="10">
        <v>40.244300000000003</v>
      </c>
      <c r="F75" s="10">
        <v>41.522500000000001</v>
      </c>
      <c r="G75" s="10">
        <v>42.110900000000001</v>
      </c>
      <c r="H75" s="10">
        <v>409.02499999999998</v>
      </c>
      <c r="I75" s="10">
        <v>0.33100000000000002</v>
      </c>
      <c r="J75" s="11">
        <f t="shared" si="4"/>
        <v>0.11361805555555556</v>
      </c>
      <c r="L75" s="9">
        <v>1230.4848</v>
      </c>
      <c r="M75" s="10">
        <v>39.6798</v>
      </c>
      <c r="N75" s="10">
        <v>41.087299999999999</v>
      </c>
      <c r="O75" s="10">
        <v>41.661900000000003</v>
      </c>
      <c r="P75" s="10">
        <v>393.60899999999998</v>
      </c>
      <c r="Q75" s="10">
        <v>0.38200000000000001</v>
      </c>
      <c r="R75" s="11">
        <f t="shared" si="5"/>
        <v>0.10933583333333333</v>
      </c>
      <c r="S75" s="13">
        <f t="shared" si="6"/>
        <v>0.96231037222663651</v>
      </c>
      <c r="T75" s="13">
        <f t="shared" si="7"/>
        <v>1.1540785498489425</v>
      </c>
      <c r="U75" s="48"/>
      <c r="V75" s="30">
        <f>bdrate($D75:$D78,E75:E78,$L75:$L78,M75:M78)</f>
        <v>3.3834289993255329E-3</v>
      </c>
      <c r="W75" s="35">
        <f>bdrate($D75:$D78,F75:F78,$L75:$L78,N75:N78)</f>
        <v>-1.9275921093000137E-2</v>
      </c>
      <c r="X75" s="35">
        <f>bdrate($D75:$D78,G75:G78,$L75:$L78,O75:O78)</f>
        <v>-2.8679327805196442E-2</v>
      </c>
      <c r="Y75" s="33">
        <f>bdrateOld($D75:$D78,E75:E78,$L75:$L78,M75:M78)</f>
        <v>3.0908047234088354E-3</v>
      </c>
      <c r="Z75" s="37">
        <f>bdrateOld($D75:$D78,F75:F78,$L75:$L78,N75:N78)</f>
        <v>-1.3099057957293603E-2</v>
      </c>
      <c r="AA75" s="38">
        <f>bdrateOld($D75:$D78,G75:G78,$L75:$L78,O75:O78)</f>
        <v>-2.3405761635774125E-2</v>
      </c>
    </row>
    <row r="76" spans="1:27" x14ac:dyDescent="0.2">
      <c r="A76" s="25"/>
      <c r="B76" s="25"/>
      <c r="C76" s="25">
        <v>27</v>
      </c>
      <c r="D76" s="12">
        <v>631.40639999999996</v>
      </c>
      <c r="E76" s="13">
        <v>35.882199999999997</v>
      </c>
      <c r="F76" s="13">
        <v>38.887599999999999</v>
      </c>
      <c r="G76" s="13">
        <v>39.296900000000001</v>
      </c>
      <c r="H76" s="13">
        <v>306.50599999999997</v>
      </c>
      <c r="I76" s="13">
        <v>0.26400000000000001</v>
      </c>
      <c r="J76" s="14">
        <f t="shared" si="4"/>
        <v>8.5140555555555553E-2</v>
      </c>
      <c r="L76" s="12">
        <v>580.86239999999998</v>
      </c>
      <c r="M76" s="13">
        <v>35.412199999999999</v>
      </c>
      <c r="N76" s="13">
        <v>38.758000000000003</v>
      </c>
      <c r="O76" s="13">
        <v>39.2151</v>
      </c>
      <c r="P76" s="13">
        <v>301.17599999999999</v>
      </c>
      <c r="Q76" s="13">
        <v>0.25</v>
      </c>
      <c r="R76" s="14">
        <f t="shared" si="5"/>
        <v>8.3659999999999998E-2</v>
      </c>
      <c r="S76" s="13">
        <f t="shared" si="6"/>
        <v>0.98261045460774021</v>
      </c>
      <c r="T76" s="13">
        <f t="shared" si="7"/>
        <v>0.94696969696969691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v>307.7928</v>
      </c>
      <c r="E77" s="13">
        <v>32.313400000000001</v>
      </c>
      <c r="F77" s="13">
        <v>37.2074</v>
      </c>
      <c r="G77" s="13">
        <v>37.512300000000003</v>
      </c>
      <c r="H77" s="13">
        <v>226.75200000000001</v>
      </c>
      <c r="I77" s="13">
        <v>0.20200000000000001</v>
      </c>
      <c r="J77" s="14">
        <f t="shared" si="4"/>
        <v>6.2986666666666663E-2</v>
      </c>
      <c r="L77" s="12">
        <v>282.70080000000002</v>
      </c>
      <c r="M77" s="13">
        <v>31.930499999999999</v>
      </c>
      <c r="N77" s="13">
        <v>37.104599999999998</v>
      </c>
      <c r="O77" s="13">
        <v>37.4129</v>
      </c>
      <c r="P77" s="13">
        <v>218.92099999999999</v>
      </c>
      <c r="Q77" s="13">
        <v>0.20599999999999999</v>
      </c>
      <c r="R77" s="14">
        <f t="shared" si="5"/>
        <v>6.0811388888888887E-2</v>
      </c>
      <c r="S77" s="13">
        <f t="shared" si="6"/>
        <v>0.96546447219870157</v>
      </c>
      <c r="T77" s="13">
        <f t="shared" si="7"/>
        <v>1.0198019801980196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v>150.9984</v>
      </c>
      <c r="E78" s="17">
        <v>29.5306</v>
      </c>
      <c r="F78" s="17">
        <v>36.1111</v>
      </c>
      <c r="G78" s="17">
        <v>36.26</v>
      </c>
      <c r="H78" s="17">
        <v>184.62700000000001</v>
      </c>
      <c r="I78" s="17">
        <v>0.153</v>
      </c>
      <c r="J78" s="18">
        <f t="shared" si="4"/>
        <v>5.1285277777777784E-2</v>
      </c>
      <c r="L78" s="16">
        <v>138.59280000000001</v>
      </c>
      <c r="M78" s="17">
        <v>29.246099999999998</v>
      </c>
      <c r="N78" s="17">
        <v>35.893300000000004</v>
      </c>
      <c r="O78" s="17">
        <v>35.922800000000002</v>
      </c>
      <c r="P78" s="17">
        <v>179.529</v>
      </c>
      <c r="Q78" s="17">
        <v>0.14899999999999999</v>
      </c>
      <c r="R78" s="18">
        <f t="shared" si="5"/>
        <v>4.9869166666666666E-2</v>
      </c>
      <c r="S78" s="17">
        <f t="shared" si="6"/>
        <v>0.97238757061534875</v>
      </c>
      <c r="T78" s="17">
        <f t="shared" si="7"/>
        <v>0.97385620915032678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100</v>
      </c>
      <c r="B79" s="24" t="s">
        <v>78</v>
      </c>
      <c r="C79" s="24">
        <v>22</v>
      </c>
      <c r="D79" s="9">
        <v>2064.9168</v>
      </c>
      <c r="E79" s="10">
        <v>43.113799999999998</v>
      </c>
      <c r="F79" s="10">
        <v>46.942</v>
      </c>
      <c r="G79" s="10">
        <v>48.403700000000001</v>
      </c>
      <c r="H79" s="10">
        <f>Reference!F285</f>
        <v>31812.2434158</v>
      </c>
      <c r="I79" s="10">
        <f>Reference!G285</f>
        <v>25.502768039700001</v>
      </c>
      <c r="J79" s="11">
        <f t="shared" si="4"/>
        <v>8.8367342821666668</v>
      </c>
      <c r="L79" s="9">
        <v>2064.9168</v>
      </c>
      <c r="M79" s="10">
        <v>43.113799999999998</v>
      </c>
      <c r="N79" s="10">
        <v>46.942</v>
      </c>
      <c r="O79" s="10">
        <v>48.403700000000001</v>
      </c>
      <c r="P79" s="10">
        <f>Test!F285</f>
        <v>31368.636343999999</v>
      </c>
      <c r="Q79" s="10">
        <f>Test!G285</f>
        <v>25.812074899700001</v>
      </c>
      <c r="R79" s="11">
        <f t="shared" si="5"/>
        <v>8.7135100955555558</v>
      </c>
      <c r="S79" s="10">
        <f t="shared" si="6"/>
        <v>0.98605546091164142</v>
      </c>
      <c r="T79" s="10">
        <f t="shared" si="7"/>
        <v>1.0121283642433834</v>
      </c>
      <c r="U79" s="47"/>
      <c r="V79" s="30">
        <f>bdrate($D79:$D82,E79:E82,$L79:$L82,M79:M82)</f>
        <v>-1.6007451818025431E-2</v>
      </c>
      <c r="W79" s="35">
        <f>bdrate($D79:$D82,F79:F82,$L79:$L82,N79:N82)</f>
        <v>-3.9646033439918904E-2</v>
      </c>
      <c r="X79" s="36">
        <f>bdrate($D79:$D82,G79:G82,$L79:$L82,O79:O82)</f>
        <v>-3.2222188232422955E-2</v>
      </c>
      <c r="Y79" s="30">
        <f>bdrateOld($D79:$D82,E79:E82,$L79:$L82,M79:M82)</f>
        <v>-1.6492710309843339E-2</v>
      </c>
      <c r="Z79" s="35">
        <f>bdrateOld($D79:$D82,F79:F82,$L79:$L82,N79:N82)</f>
        <v>-4.3180082093870031E-2</v>
      </c>
      <c r="AA79" s="36">
        <f>bdrateOld($D79:$D82,G79:G82,$L79:$L82,O79:O82)</f>
        <v>-3.5158502618834242E-2</v>
      </c>
    </row>
    <row r="80" spans="1:27" x14ac:dyDescent="0.2">
      <c r="A80" s="25" t="s">
        <v>101</v>
      </c>
      <c r="B80" s="25"/>
      <c r="C80" s="25">
        <v>27</v>
      </c>
      <c r="D80" s="12">
        <v>765.7296</v>
      </c>
      <c r="E80" s="13">
        <v>41.075499999999998</v>
      </c>
      <c r="F80" s="13">
        <v>45.140099999999997</v>
      </c>
      <c r="G80" s="13">
        <v>46.626600000000003</v>
      </c>
      <c r="H80" s="13">
        <f>Reference!F286</f>
        <v>19633.977574799999</v>
      </c>
      <c r="I80" s="13">
        <f>Reference!G286</f>
        <v>17.340811967800001</v>
      </c>
      <c r="J80" s="14">
        <f t="shared" si="4"/>
        <v>5.4538826596666663</v>
      </c>
      <c r="L80" s="12">
        <v>711.32640000000004</v>
      </c>
      <c r="M80" s="13">
        <v>40.920900000000003</v>
      </c>
      <c r="N80" s="13">
        <v>45.098199999999999</v>
      </c>
      <c r="O80" s="13">
        <v>46.623800000000003</v>
      </c>
      <c r="P80" s="13">
        <f>Test!F286</f>
        <v>20282.735944</v>
      </c>
      <c r="Q80" s="13">
        <f>Test!G286</f>
        <v>17.813694000200002</v>
      </c>
      <c r="R80" s="14">
        <f t="shared" si="5"/>
        <v>5.6340933177777774</v>
      </c>
      <c r="S80" s="13">
        <f t="shared" si="6"/>
        <v>1.0330426357434916</v>
      </c>
      <c r="T80" s="13">
        <f t="shared" si="7"/>
        <v>1.0272698898574122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v>391.9008</v>
      </c>
      <c r="E81" s="13">
        <v>38.732199999999999</v>
      </c>
      <c r="F81" s="13">
        <v>43.633400000000002</v>
      </c>
      <c r="G81" s="13">
        <v>45.068899999999999</v>
      </c>
      <c r="H81" s="13">
        <f>Reference!F287</f>
        <v>13979.651119</v>
      </c>
      <c r="I81" s="13">
        <f>Reference!G287</f>
        <v>13.767154932</v>
      </c>
      <c r="J81" s="14">
        <f t="shared" si="4"/>
        <v>3.8832364219444444</v>
      </c>
      <c r="L81" s="12">
        <v>370.63200000000001</v>
      </c>
      <c r="M81" s="13">
        <v>38.575000000000003</v>
      </c>
      <c r="N81" s="13">
        <v>43.582299999999996</v>
      </c>
      <c r="O81" s="13">
        <v>44.936199999999999</v>
      </c>
      <c r="P81" s="13">
        <f>Test!F287</f>
        <v>14433.256223</v>
      </c>
      <c r="Q81" s="13">
        <f>Test!G287</f>
        <v>14.423439979599999</v>
      </c>
      <c r="R81" s="14">
        <f t="shared" si="5"/>
        <v>4.0092378397222221</v>
      </c>
      <c r="S81" s="13">
        <f t="shared" si="6"/>
        <v>1.0324475267757933</v>
      </c>
      <c r="T81" s="13">
        <f t="shared" si="7"/>
        <v>1.0476703466214756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v>219.84479999999999</v>
      </c>
      <c r="E82" s="17">
        <v>36.014200000000002</v>
      </c>
      <c r="F82" s="17">
        <v>42.455800000000004</v>
      </c>
      <c r="G82" s="17">
        <v>43.786799999999999</v>
      </c>
      <c r="H82" s="17">
        <f>Reference!F288</f>
        <v>10472.714649</v>
      </c>
      <c r="I82" s="17">
        <f>Reference!G288</f>
        <v>11.431514978399999</v>
      </c>
      <c r="J82" s="18">
        <f t="shared" si="4"/>
        <v>2.9090874025</v>
      </c>
      <c r="L82" s="16">
        <v>208.57919999999999</v>
      </c>
      <c r="M82" s="17">
        <v>35.860799999999998</v>
      </c>
      <c r="N82" s="17">
        <v>42.4983</v>
      </c>
      <c r="O82" s="17">
        <v>43.708799999999997</v>
      </c>
      <c r="P82" s="17">
        <f>Test!F288</f>
        <v>10922.607595900001</v>
      </c>
      <c r="Q82" s="17">
        <f>Test!G288</f>
        <v>11.4038929939</v>
      </c>
      <c r="R82" s="18">
        <f t="shared" si="5"/>
        <v>3.034057665527778</v>
      </c>
      <c r="S82" s="13">
        <f t="shared" si="6"/>
        <v>1.0429585796976679</v>
      </c>
      <c r="T82" s="13">
        <f t="shared" si="7"/>
        <v>0.99758369870028674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79</v>
      </c>
      <c r="C83" s="24">
        <v>22</v>
      </c>
      <c r="D83" s="9">
        <v>1878.4272000000001</v>
      </c>
      <c r="E83" s="10">
        <v>43.279000000000003</v>
      </c>
      <c r="F83" s="10">
        <v>48.324199999999998</v>
      </c>
      <c r="G83" s="10">
        <v>49.059100000000001</v>
      </c>
      <c r="H83" s="10">
        <f>Reference!F289</f>
        <v>28061.023316899998</v>
      </c>
      <c r="I83" s="10">
        <f>Reference!G289</f>
        <v>21.999122142800001</v>
      </c>
      <c r="J83" s="11">
        <f t="shared" si="4"/>
        <v>7.7947286991388882</v>
      </c>
      <c r="L83" s="9">
        <v>1878.4272000000001</v>
      </c>
      <c r="M83" s="10">
        <v>43.279000000000003</v>
      </c>
      <c r="N83" s="10">
        <v>48.324199999999998</v>
      </c>
      <c r="O83" s="10">
        <v>49.059100000000001</v>
      </c>
      <c r="P83" s="10">
        <f>Test!F289</f>
        <v>27595.364308100001</v>
      </c>
      <c r="Q83" s="10">
        <f>Test!G289</f>
        <v>20.951756000500001</v>
      </c>
      <c r="R83" s="11">
        <f t="shared" si="5"/>
        <v>7.6653789744722225</v>
      </c>
      <c r="S83" s="13">
        <f t="shared" si="6"/>
        <v>0.9834054872646234</v>
      </c>
      <c r="T83" s="13">
        <f t="shared" si="7"/>
        <v>0.95239054833636683</v>
      </c>
      <c r="U83" s="48"/>
      <c r="V83" s="30">
        <f>bdrate($D83:$D86,E83:E86,$L83:$L86,M83:M86)</f>
        <v>-1.1913498001949074E-2</v>
      </c>
      <c r="W83" s="35">
        <f>bdrate($D83:$D86,F83:F86,$L83:$L86,N83:N86)</f>
        <v>-5.4932855345181664E-2</v>
      </c>
      <c r="X83" s="35">
        <f>bdrate($D83:$D86,G83:G86,$L83:$L86,O83:O86)</f>
        <v>-1.1914180018132714E-2</v>
      </c>
      <c r="Y83" s="33">
        <f>bdrateOld($D83:$D86,E83:E86,$L83:$L86,M83:M86)</f>
        <v>-1.2261206859930374E-2</v>
      </c>
      <c r="Z83" s="37">
        <f>bdrateOld($D83:$D86,F83:F86,$L83:$L86,N83:N86)</f>
        <v>-5.630760898506959E-2</v>
      </c>
      <c r="AA83" s="38">
        <f>bdrateOld($D83:$D86,G83:G86,$L83:$L86,O83:O86)</f>
        <v>-1.1566474701515728E-2</v>
      </c>
    </row>
    <row r="84" spans="1:27" x14ac:dyDescent="0.2">
      <c r="A84" s="25"/>
      <c r="B84" s="25"/>
      <c r="C84" s="25">
        <v>27</v>
      </c>
      <c r="D84" s="12">
        <v>547.56960000000004</v>
      </c>
      <c r="E84" s="13">
        <v>41.6952</v>
      </c>
      <c r="F84" s="13">
        <v>46.773000000000003</v>
      </c>
      <c r="G84" s="13">
        <v>47.587899999999998</v>
      </c>
      <c r="H84" s="13">
        <f>Reference!F290</f>
        <v>15009.2604749</v>
      </c>
      <c r="I84" s="13">
        <f>Reference!G290</f>
        <v>15.256946086899999</v>
      </c>
      <c r="J84" s="14">
        <f t="shared" si="4"/>
        <v>4.1692390208055556</v>
      </c>
      <c r="L84" s="12">
        <v>492.32639999999998</v>
      </c>
      <c r="M84" s="13">
        <v>41.54</v>
      </c>
      <c r="N84" s="13">
        <v>46.774999999999999</v>
      </c>
      <c r="O84" s="13">
        <v>47.445599999999999</v>
      </c>
      <c r="P84" s="13">
        <f>Test!F290</f>
        <v>15326.7066939</v>
      </c>
      <c r="Q84" s="13">
        <f>Test!G290</f>
        <v>15.8167600632</v>
      </c>
      <c r="R84" s="14">
        <f t="shared" si="5"/>
        <v>4.2574185260833328</v>
      </c>
      <c r="S84" s="13">
        <f t="shared" si="6"/>
        <v>1.0211500239822517</v>
      </c>
      <c r="T84" s="13">
        <f t="shared" si="7"/>
        <v>1.0366924005047558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v>243.9888</v>
      </c>
      <c r="E85" s="13">
        <v>39.864699999999999</v>
      </c>
      <c r="F85" s="13">
        <v>45.294600000000003</v>
      </c>
      <c r="G85" s="13">
        <v>46.049799999999998</v>
      </c>
      <c r="H85" s="13">
        <f>Reference!F291</f>
        <v>9908.2596750299999</v>
      </c>
      <c r="I85" s="13">
        <f>Reference!G291</f>
        <v>12.563724994699999</v>
      </c>
      <c r="J85" s="14">
        <f t="shared" si="4"/>
        <v>2.752294354175</v>
      </c>
      <c r="L85" s="12">
        <v>230.52959999999999</v>
      </c>
      <c r="M85" s="13">
        <v>39.729599999999998</v>
      </c>
      <c r="N85" s="13">
        <v>45.245600000000003</v>
      </c>
      <c r="O85" s="13">
        <v>45.989800000000002</v>
      </c>
      <c r="P85" s="13">
        <f>Test!F291</f>
        <v>10272.0326362</v>
      </c>
      <c r="Q85" s="13">
        <f>Test!G291</f>
        <v>12.802968978899999</v>
      </c>
      <c r="R85" s="14">
        <f t="shared" si="5"/>
        <v>2.8533423989444442</v>
      </c>
      <c r="S85" s="13">
        <f t="shared" si="6"/>
        <v>1.0367141125788972</v>
      </c>
      <c r="T85" s="13">
        <f t="shared" si="7"/>
        <v>1.0190424403830014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v>134.51519999999999</v>
      </c>
      <c r="E86" s="17">
        <v>37.683799999999998</v>
      </c>
      <c r="F86" s="17">
        <v>44.137500000000003</v>
      </c>
      <c r="G86" s="17">
        <v>44.881500000000003</v>
      </c>
      <c r="H86" s="17">
        <f>Reference!F292</f>
        <v>6617.1907169799997</v>
      </c>
      <c r="I86" s="17">
        <f>Reference!G292</f>
        <v>11.0794460773</v>
      </c>
      <c r="J86" s="18">
        <f t="shared" si="4"/>
        <v>1.8381085324944444</v>
      </c>
      <c r="L86" s="16">
        <v>128.37119999999999</v>
      </c>
      <c r="M86" s="17">
        <v>37.545200000000001</v>
      </c>
      <c r="N86" s="17">
        <v>44.028300000000002</v>
      </c>
      <c r="O86" s="17">
        <v>44.686599999999999</v>
      </c>
      <c r="P86" s="17">
        <f>Test!F292</f>
        <v>6846.8802340000002</v>
      </c>
      <c r="Q86" s="17">
        <f>Test!G292</f>
        <v>11.558501958800001</v>
      </c>
      <c r="R86" s="18">
        <f t="shared" si="5"/>
        <v>1.9019111761111112</v>
      </c>
      <c r="S86" s="13">
        <f t="shared" si="6"/>
        <v>1.0347110317420061</v>
      </c>
      <c r="T86" s="13">
        <f t="shared" si="7"/>
        <v>1.0432382519990335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80</v>
      </c>
      <c r="C87" s="24">
        <v>22</v>
      </c>
      <c r="D87" s="9">
        <v>1847.4287999999999</v>
      </c>
      <c r="E87" s="10">
        <v>43.74</v>
      </c>
      <c r="F87" s="10">
        <v>47.687600000000003</v>
      </c>
      <c r="G87" s="10">
        <v>48.693399999999997</v>
      </c>
      <c r="H87" s="10">
        <f>Reference!F293</f>
        <v>35091.759876999997</v>
      </c>
      <c r="I87" s="10">
        <f>Reference!G293</f>
        <v>24.782526969900001</v>
      </c>
      <c r="J87" s="11">
        <f t="shared" si="4"/>
        <v>9.7477110769444444</v>
      </c>
      <c r="L87" s="9">
        <v>1847.4287999999999</v>
      </c>
      <c r="M87" s="10">
        <v>43.74</v>
      </c>
      <c r="N87" s="10">
        <v>47.687600000000003</v>
      </c>
      <c r="O87" s="10">
        <v>48.693399999999997</v>
      </c>
      <c r="P87" s="10">
        <f>Test!F293</f>
        <v>34567.508631899997</v>
      </c>
      <c r="Q87" s="10">
        <f>Test!G293</f>
        <v>25.7173409462</v>
      </c>
      <c r="R87" s="11">
        <f t="shared" si="5"/>
        <v>9.6020857310833332</v>
      </c>
      <c r="S87" s="13">
        <f t="shared" si="6"/>
        <v>0.98506055988820307</v>
      </c>
      <c r="T87" s="13">
        <f t="shared" si="7"/>
        <v>1.0377206883476973</v>
      </c>
      <c r="U87" s="48"/>
      <c r="V87" s="30">
        <f>bdrate($D87:$D90,E87:E90,$L87:$L90,M87:M90)</f>
        <v>-1.0900051554326606E-2</v>
      </c>
      <c r="W87" s="35">
        <f>bdrate($D87:$D90,F87:F90,$L87:$L90,N87:N90)</f>
        <v>-5.6279704799119479E-2</v>
      </c>
      <c r="X87" s="35">
        <f>bdrate($D87:$D90,G87:G90,$L87:$L90,O87:O90)</f>
        <v>-3.7930324646489599E-2</v>
      </c>
      <c r="Y87" s="33">
        <f>bdrateOld($D87:$D90,E87:E90,$L87:$L90,M87:M90)</f>
        <v>-1.1242916954214865E-2</v>
      </c>
      <c r="Z87" s="37">
        <f>bdrateOld($D87:$D90,F87:F90,$L87:$L90,N87:N90)</f>
        <v>-5.5972014943819204E-2</v>
      </c>
      <c r="AA87" s="38">
        <f>bdrateOld($D87:$D90,G87:G90,$L87:$L90,O87:O90)</f>
        <v>-4.0434971931520347E-2</v>
      </c>
    </row>
    <row r="88" spans="1:27" x14ac:dyDescent="0.2">
      <c r="A88" s="25"/>
      <c r="B88" s="25"/>
      <c r="C88" s="25">
        <v>27</v>
      </c>
      <c r="D88" s="12">
        <v>692.60159999999996</v>
      </c>
      <c r="E88" s="13">
        <v>41.902299999999997</v>
      </c>
      <c r="F88" s="13">
        <v>45.916800000000002</v>
      </c>
      <c r="G88" s="13">
        <v>47.0777</v>
      </c>
      <c r="H88" s="13">
        <f>Reference!F294</f>
        <v>20834.6210489</v>
      </c>
      <c r="I88" s="13">
        <f>Reference!G294</f>
        <v>17.772142171900001</v>
      </c>
      <c r="J88" s="14">
        <f t="shared" si="4"/>
        <v>5.787394735805556</v>
      </c>
      <c r="L88" s="12">
        <v>635.47199999999998</v>
      </c>
      <c r="M88" s="13">
        <v>41.737200000000001</v>
      </c>
      <c r="N88" s="13">
        <v>45.916800000000002</v>
      </c>
      <c r="O88" s="13">
        <v>47.0777</v>
      </c>
      <c r="P88" s="13">
        <f>Test!F294</f>
        <v>20534.31106</v>
      </c>
      <c r="Q88" s="13">
        <f>Test!G294</f>
        <v>16.031351089499999</v>
      </c>
      <c r="R88" s="14">
        <f t="shared" si="5"/>
        <v>5.7039752944444446</v>
      </c>
      <c r="S88" s="13">
        <f t="shared" si="6"/>
        <v>0.98558601146643576</v>
      </c>
      <c r="T88" s="13">
        <f t="shared" si="7"/>
        <v>0.90204945101371004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v>317.20319999999998</v>
      </c>
      <c r="E89" s="13">
        <v>39.708100000000002</v>
      </c>
      <c r="F89" s="13">
        <v>44.331899999999997</v>
      </c>
      <c r="G89" s="13">
        <v>45.5822</v>
      </c>
      <c r="H89" s="13">
        <f>Reference!F295</f>
        <v>14125.831244000001</v>
      </c>
      <c r="I89" s="13">
        <f>Reference!G295</f>
        <v>14.6766331196</v>
      </c>
      <c r="J89" s="14">
        <f t="shared" si="4"/>
        <v>3.9238420122222224</v>
      </c>
      <c r="L89" s="12">
        <v>297.60000000000002</v>
      </c>
      <c r="M89" s="13">
        <v>39.527700000000003</v>
      </c>
      <c r="N89" s="13">
        <v>44.331899999999997</v>
      </c>
      <c r="O89" s="13">
        <v>45.5822</v>
      </c>
      <c r="P89" s="13">
        <f>Test!F295</f>
        <v>14467.8410568</v>
      </c>
      <c r="Q89" s="13">
        <f>Test!G295</f>
        <v>15.5886769295</v>
      </c>
      <c r="R89" s="14">
        <f t="shared" si="5"/>
        <v>4.0188447380000003</v>
      </c>
      <c r="S89" s="13">
        <f t="shared" si="6"/>
        <v>1.0242116592568857</v>
      </c>
      <c r="T89" s="13">
        <f t="shared" si="7"/>
        <v>1.0621425774200219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v>167.9616</v>
      </c>
      <c r="E90" s="17">
        <v>37.249699999999997</v>
      </c>
      <c r="F90" s="17">
        <v>43.218400000000003</v>
      </c>
      <c r="G90" s="17">
        <v>44.303199999999997</v>
      </c>
      <c r="H90" s="17">
        <f>Reference!F296</f>
        <v>9419.0697059600006</v>
      </c>
      <c r="I90" s="17">
        <f>Reference!G296</f>
        <v>12.624052047699999</v>
      </c>
      <c r="J90" s="18">
        <f t="shared" si="4"/>
        <v>2.6164082516555558</v>
      </c>
      <c r="L90" s="16">
        <v>160.06559999999999</v>
      </c>
      <c r="M90" s="17">
        <v>37.097299999999997</v>
      </c>
      <c r="N90" s="17">
        <v>43.106000000000002</v>
      </c>
      <c r="O90" s="17">
        <v>43.106000000000002</v>
      </c>
      <c r="P90" s="17">
        <f>Test!F296</f>
        <v>9689.0716600399992</v>
      </c>
      <c r="Q90" s="17">
        <f>Test!G296</f>
        <v>12.307090044000001</v>
      </c>
      <c r="R90" s="18">
        <f t="shared" si="5"/>
        <v>2.6914087944555551</v>
      </c>
      <c r="S90" s="13">
        <f t="shared" si="6"/>
        <v>1.0286654587457986</v>
      </c>
      <c r="T90" s="13">
        <f t="shared" si="7"/>
        <v>0.97489221349037869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102</v>
      </c>
      <c r="B91" s="24" t="s">
        <v>81</v>
      </c>
      <c r="C91" s="24">
        <v>22</v>
      </c>
      <c r="D91" s="9">
        <f>Reference!B297</f>
        <v>3332.4528</v>
      </c>
      <c r="E91" s="10">
        <f>Reference!C297</f>
        <v>40.680700000000002</v>
      </c>
      <c r="F91" s="10">
        <f>Reference!D297</f>
        <v>43.221299999999999</v>
      </c>
      <c r="G91" s="10">
        <f>Reference!E297</f>
        <v>43.898699999999998</v>
      </c>
      <c r="H91" s="10">
        <f>Reference!F297</f>
        <v>29019.5325639</v>
      </c>
      <c r="I91" s="10">
        <f>Reference!G297</f>
        <v>17.219068050400001</v>
      </c>
      <c r="J91" s="11">
        <f t="shared" ref="J91:J106" si="8">H91/3600</f>
        <v>8.0609812677499999</v>
      </c>
      <c r="L91" s="9">
        <f>Test!B297</f>
        <v>3332.4512</v>
      </c>
      <c r="M91" s="10">
        <f>Test!C297</f>
        <v>40.680700000000002</v>
      </c>
      <c r="N91" s="10">
        <f>Test!D297</f>
        <v>43.221299999999999</v>
      </c>
      <c r="O91" s="10">
        <f>Test!E297</f>
        <v>43.898699999999998</v>
      </c>
      <c r="P91" s="10">
        <f>Test!F297</f>
        <v>28866.8709519</v>
      </c>
      <c r="Q91" s="10">
        <f>Test!G297</f>
        <v>16.1340680122</v>
      </c>
      <c r="R91" s="11">
        <f t="shared" ref="R91:R106" si="9">P91/3600</f>
        <v>8.0185752644166666</v>
      </c>
      <c r="S91" s="10">
        <f t="shared" ref="S91:S106" si="10">P91/H91</f>
        <v>0.99473934972371303</v>
      </c>
      <c r="T91" s="10">
        <f t="shared" ref="T91:T106" si="11">Q91/I91</f>
        <v>0.93698845750395909</v>
      </c>
      <c r="U91" s="47"/>
      <c r="V91" s="30">
        <f>bdrate($D91:$D94,E91:E94,$L91:$L94,M91:M94)</f>
        <v>-1.6249870811169131E-6</v>
      </c>
      <c r="W91" s="35">
        <f>bdrate($D91:$D94,F91:F94,$L91:$L94,N91:N94)</f>
        <v>-1.5200362569744996E-6</v>
      </c>
      <c r="X91" s="36">
        <f>bdrate($D91:$D94,G91:G94,$L91:$L94,O91:O94)</f>
        <v>-1.5245534762398094E-6</v>
      </c>
      <c r="Y91" s="30">
        <f>bdrateOld($D91:$D94,E91:E94,$L91:$L94,M91:M94)</f>
        <v>-1.6299773403227746E-6</v>
      </c>
      <c r="Z91" s="35">
        <f>bdrateOld($D91:$D94,F91:F94,$L91:$L94,N91:N94)</f>
        <v>-1.5376188385873846E-6</v>
      </c>
      <c r="AA91" s="36">
        <f>bdrateOld($D91:$D94,G91:G94,$L91:$L94,O91:O94)</f>
        <v>-1.5392785625012451E-6</v>
      </c>
    </row>
    <row r="92" spans="1:27" x14ac:dyDescent="0.2">
      <c r="A92" s="25"/>
      <c r="B92" s="25"/>
      <c r="C92" s="25">
        <v>27</v>
      </c>
      <c r="D92" s="12">
        <f>Reference!B298</f>
        <v>1528.7760000000001</v>
      </c>
      <c r="E92" s="13">
        <f>Reference!C298</f>
        <v>37.330500000000001</v>
      </c>
      <c r="F92" s="13">
        <f>Reference!D298</f>
        <v>40.499299999999998</v>
      </c>
      <c r="G92" s="13">
        <f>Reference!E298</f>
        <v>40.953099999999999</v>
      </c>
      <c r="H92" s="13">
        <f>Reference!F298</f>
        <v>22749.0787108</v>
      </c>
      <c r="I92" s="13">
        <f>Reference!G298</f>
        <v>13.1664149761</v>
      </c>
      <c r="J92" s="14">
        <f t="shared" si="8"/>
        <v>6.3191885307777778</v>
      </c>
      <c r="L92" s="12">
        <f>Test!B298</f>
        <v>1528.7744</v>
      </c>
      <c r="M92" s="13">
        <f>Test!C298</f>
        <v>37.330500000000001</v>
      </c>
      <c r="N92" s="13">
        <f>Test!D298</f>
        <v>40.499299999999998</v>
      </c>
      <c r="O92" s="13">
        <f>Test!E298</f>
        <v>40.953099999999999</v>
      </c>
      <c r="P92" s="13">
        <f>Test!F298</f>
        <v>22557.780600999999</v>
      </c>
      <c r="Q92" s="13">
        <f>Test!G298</f>
        <v>12.332900047300001</v>
      </c>
      <c r="R92" s="14">
        <f t="shared" si="9"/>
        <v>6.2660501669444439</v>
      </c>
      <c r="S92" s="13">
        <f t="shared" si="10"/>
        <v>0.99159095134216646</v>
      </c>
      <c r="T92" s="13">
        <f t="shared" si="11"/>
        <v>0.93669385855504206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Reference!B299</f>
        <v>767.9624</v>
      </c>
      <c r="E93" s="13">
        <f>Reference!C299</f>
        <v>34.449100000000001</v>
      </c>
      <c r="F93" s="13">
        <f>Reference!D299</f>
        <v>38.415100000000002</v>
      </c>
      <c r="G93" s="13">
        <f>Reference!E299</f>
        <v>38.812800000000003</v>
      </c>
      <c r="H93" s="13">
        <f>Reference!F299</f>
        <v>16673.5231719</v>
      </c>
      <c r="I93" s="13">
        <f>Reference!G299</f>
        <v>9.8107860088300001</v>
      </c>
      <c r="J93" s="14">
        <f t="shared" si="8"/>
        <v>4.6315342144166669</v>
      </c>
      <c r="L93" s="12">
        <f>Test!B299</f>
        <v>767.96079999999995</v>
      </c>
      <c r="M93" s="13">
        <f>Test!C299</f>
        <v>34.449100000000001</v>
      </c>
      <c r="N93" s="13">
        <f>Test!D299</f>
        <v>38.415100000000002</v>
      </c>
      <c r="O93" s="13">
        <f>Test!E299</f>
        <v>38.812800000000003</v>
      </c>
      <c r="P93" s="13">
        <f>Test!F299</f>
        <v>16475.2651181</v>
      </c>
      <c r="Q93" s="13">
        <f>Test!G299</f>
        <v>9.2163000106799995</v>
      </c>
      <c r="R93" s="14">
        <f t="shared" si="9"/>
        <v>4.5764625328055555</v>
      </c>
      <c r="S93" s="13">
        <f t="shared" si="10"/>
        <v>0.98810940844619299</v>
      </c>
      <c r="T93" s="13">
        <f t="shared" si="11"/>
        <v>0.93940485526695361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Reference!B300</f>
        <v>408.584</v>
      </c>
      <c r="E94" s="17">
        <f>Reference!C300</f>
        <v>31.818000000000001</v>
      </c>
      <c r="F94" s="17">
        <f>Reference!D300</f>
        <v>36.763599999999997</v>
      </c>
      <c r="G94" s="17">
        <f>Reference!E300</f>
        <v>37.002299999999998</v>
      </c>
      <c r="H94" s="17">
        <f>Reference!F300</f>
        <v>12142.786999</v>
      </c>
      <c r="I94" s="17">
        <f>Reference!G300</f>
        <v>7.6129097938500001</v>
      </c>
      <c r="J94" s="18">
        <f t="shared" si="8"/>
        <v>3.372996388611111</v>
      </c>
      <c r="L94" s="16">
        <f>Test!B300</f>
        <v>408.58240000000001</v>
      </c>
      <c r="M94" s="17">
        <f>Test!C300</f>
        <v>31.818000000000001</v>
      </c>
      <c r="N94" s="17">
        <f>Test!D300</f>
        <v>36.763599999999997</v>
      </c>
      <c r="O94" s="17">
        <f>Test!E300</f>
        <v>37.002299999999998</v>
      </c>
      <c r="P94" s="17">
        <f>Test!F300</f>
        <v>12023.660809999999</v>
      </c>
      <c r="Q94" s="17">
        <f>Test!G300</f>
        <v>7.1932060718499997</v>
      </c>
      <c r="R94" s="18">
        <f t="shared" si="9"/>
        <v>3.3399057805555552</v>
      </c>
      <c r="S94" s="13">
        <f t="shared" si="10"/>
        <v>0.99018955129412956</v>
      </c>
      <c r="T94" s="13">
        <f t="shared" si="11"/>
        <v>0.94486947391140075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110</v>
      </c>
      <c r="C95" s="24">
        <v>22</v>
      </c>
      <c r="D95" s="9">
        <f>Reference!B301</f>
        <v>13283.045599999999</v>
      </c>
      <c r="E95" s="10">
        <f>Reference!C301</f>
        <v>42.401400000000002</v>
      </c>
      <c r="F95" s="10">
        <f>Reference!D301</f>
        <v>44.273800000000001</v>
      </c>
      <c r="G95" s="10">
        <f>Reference!E301</f>
        <v>44.977400000000003</v>
      </c>
      <c r="H95" s="10">
        <f>Reference!F301</f>
        <v>103404.38729499999</v>
      </c>
      <c r="I95" s="10">
        <f>Reference!G301</f>
        <v>85.062417030299997</v>
      </c>
      <c r="J95" s="11">
        <f t="shared" si="8"/>
        <v>28.723440915277777</v>
      </c>
      <c r="L95" s="9">
        <f>Test!B301</f>
        <v>13283.044</v>
      </c>
      <c r="M95" s="10">
        <f>Test!C301</f>
        <v>42.401400000000002</v>
      </c>
      <c r="N95" s="10">
        <f>Test!D301</f>
        <v>44.273800000000001</v>
      </c>
      <c r="O95" s="10">
        <f>Test!E301</f>
        <v>44.977400000000003</v>
      </c>
      <c r="P95" s="10">
        <f>Test!F301</f>
        <v>101899.690854</v>
      </c>
      <c r="Q95" s="10">
        <f>Test!G301</f>
        <v>83.120177030600004</v>
      </c>
      <c r="R95" s="11">
        <f t="shared" si="9"/>
        <v>28.305469681666668</v>
      </c>
      <c r="S95" s="13">
        <f t="shared" si="10"/>
        <v>0.9854484274762223</v>
      </c>
      <c r="T95" s="13">
        <f t="shared" si="11"/>
        <v>0.97716688441843658</v>
      </c>
      <c r="U95" s="48"/>
      <c r="V95" s="30">
        <f>bdrate($D95:$D98,E95:E98,$L95:$L98,M95:M98)</f>
        <v>-4.7397692859441065E-7</v>
      </c>
      <c r="W95" s="35">
        <f>bdrate($D95:$D98,F95:F98,$L95:$L98,N95:N98)</f>
        <v>-4.3444889841204315E-7</v>
      </c>
      <c r="X95" s="35">
        <f>bdrate($D95:$D98,G95:G98,$L95:$L98,O95:O98)</f>
        <v>-4.3753700795789996E-7</v>
      </c>
      <c r="Y95" s="33">
        <f>bdrateOld($D95:$D98,E95:E98,$L95:$L98,M95:M98)</f>
        <v>-4.7575961226176133E-7</v>
      </c>
      <c r="Z95" s="37">
        <f>bdrateOld($D95:$D98,F95:F98,$L95:$L98,N95:N98)</f>
        <v>-4.4164394130685736E-7</v>
      </c>
      <c r="AA95" s="38">
        <f>bdrateOld($D95:$D98,G95:G98,$L95:$L98,O95:O98)</f>
        <v>-4.4236340490666493E-7</v>
      </c>
    </row>
    <row r="96" spans="1:27" x14ac:dyDescent="0.2">
      <c r="A96" s="25"/>
      <c r="B96" s="25"/>
      <c r="C96" s="25">
        <v>27</v>
      </c>
      <c r="D96" s="12">
        <f>Reference!B302</f>
        <v>5600.8119999999999</v>
      </c>
      <c r="E96" s="13">
        <f>Reference!C302</f>
        <v>38.941200000000002</v>
      </c>
      <c r="F96" s="13">
        <f>Reference!D302</f>
        <v>41.560400000000001</v>
      </c>
      <c r="G96" s="13">
        <f>Reference!E302</f>
        <v>42.040700000000001</v>
      </c>
      <c r="H96" s="13">
        <f>Reference!F302</f>
        <v>77598.298645000003</v>
      </c>
      <c r="I96" s="13">
        <f>Reference!G302</f>
        <v>61.929437875700003</v>
      </c>
      <c r="J96" s="14">
        <f t="shared" si="8"/>
        <v>21.555082956944446</v>
      </c>
      <c r="L96" s="12">
        <f>Test!B302</f>
        <v>5600.8104000000003</v>
      </c>
      <c r="M96" s="13">
        <f>Test!C302</f>
        <v>38.941200000000002</v>
      </c>
      <c r="N96" s="13">
        <f>Test!D302</f>
        <v>41.560400000000001</v>
      </c>
      <c r="O96" s="13">
        <f>Test!E302</f>
        <v>42.040700000000001</v>
      </c>
      <c r="P96" s="13">
        <f>Test!F302</f>
        <v>76987.414571999994</v>
      </c>
      <c r="Q96" s="13">
        <f>Test!G302</f>
        <v>59.931558847399998</v>
      </c>
      <c r="R96" s="14">
        <f t="shared" si="9"/>
        <v>21.385392936666666</v>
      </c>
      <c r="S96" s="13">
        <f t="shared" si="10"/>
        <v>0.99212760996481753</v>
      </c>
      <c r="T96" s="13">
        <f t="shared" si="11"/>
        <v>0.96773942898835941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Reference!B303</f>
        <v>2610.9128000000001</v>
      </c>
      <c r="E97" s="13">
        <f>Reference!C303</f>
        <v>35.9756</v>
      </c>
      <c r="F97" s="13">
        <f>Reference!D303</f>
        <v>39.607500000000002</v>
      </c>
      <c r="G97" s="13">
        <f>Reference!E303</f>
        <v>39.957099999999997</v>
      </c>
      <c r="H97" s="13">
        <f>Reference!F303</f>
        <v>60689.894832099999</v>
      </c>
      <c r="I97" s="13">
        <f>Reference!G303</f>
        <v>47.222194909999999</v>
      </c>
      <c r="J97" s="14">
        <f t="shared" si="8"/>
        <v>16.858304120027778</v>
      </c>
      <c r="L97" s="12">
        <f>Test!B303</f>
        <v>2610.9112</v>
      </c>
      <c r="M97" s="13">
        <f>Test!C303</f>
        <v>35.9756</v>
      </c>
      <c r="N97" s="13">
        <f>Test!D303</f>
        <v>39.607500000000002</v>
      </c>
      <c r="O97" s="13">
        <f>Test!E303</f>
        <v>39.957099999999997</v>
      </c>
      <c r="P97" s="13">
        <f>Test!F303</f>
        <v>60116.498023</v>
      </c>
      <c r="Q97" s="13">
        <f>Test!G303</f>
        <v>45.731465101200001</v>
      </c>
      <c r="R97" s="14">
        <f t="shared" si="9"/>
        <v>16.699027228611111</v>
      </c>
      <c r="S97" s="13">
        <f t="shared" si="10"/>
        <v>0.99055202170499201</v>
      </c>
      <c r="T97" s="13">
        <f t="shared" si="11"/>
        <v>0.96843158579051325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Reference!B304</f>
        <v>1296.3824</v>
      </c>
      <c r="E98" s="17">
        <f>Reference!C304</f>
        <v>33.276000000000003</v>
      </c>
      <c r="F98" s="17">
        <f>Reference!D304</f>
        <v>38.044800000000002</v>
      </c>
      <c r="G98" s="17">
        <f>Reference!E304</f>
        <v>38.223700000000001</v>
      </c>
      <c r="H98" s="17">
        <f>Reference!F304</f>
        <v>43384.5157912</v>
      </c>
      <c r="I98" s="17">
        <f>Reference!G304</f>
        <v>37.996468782400001</v>
      </c>
      <c r="J98" s="18">
        <f t="shared" si="8"/>
        <v>12.051254386444445</v>
      </c>
      <c r="L98" s="16">
        <f>Test!B304</f>
        <v>1296.3807999999999</v>
      </c>
      <c r="M98" s="17">
        <f>Test!C304</f>
        <v>33.276000000000003</v>
      </c>
      <c r="N98" s="17">
        <f>Test!D304</f>
        <v>38.044800000000002</v>
      </c>
      <c r="O98" s="17">
        <f>Test!E304</f>
        <v>38.223700000000001</v>
      </c>
      <c r="P98" s="17">
        <f>Test!F304</f>
        <v>43104.482136999999</v>
      </c>
      <c r="Q98" s="17">
        <f>Test!G304</f>
        <v>35.702203988999997</v>
      </c>
      <c r="R98" s="18">
        <f t="shared" si="9"/>
        <v>11.973467260277777</v>
      </c>
      <c r="S98" s="13">
        <f t="shared" si="10"/>
        <v>0.99354530875606084</v>
      </c>
      <c r="T98" s="13">
        <f t="shared" si="11"/>
        <v>0.93961899968813134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83</v>
      </c>
      <c r="C99" s="24">
        <v>22</v>
      </c>
      <c r="D99" s="9">
        <f>Reference!B305</f>
        <v>282.01920000000001</v>
      </c>
      <c r="E99" s="10">
        <f>Reference!C305</f>
        <v>47.384099999999997</v>
      </c>
      <c r="F99" s="10">
        <f>Reference!D305</f>
        <v>45.7254</v>
      </c>
      <c r="G99" s="10">
        <f>Reference!E305</f>
        <v>45.995600000000003</v>
      </c>
      <c r="H99" s="10">
        <f>Reference!F305</f>
        <v>3418.6924738900002</v>
      </c>
      <c r="I99" s="10">
        <f>Reference!G305</f>
        <v>5.1573219299300002</v>
      </c>
      <c r="J99" s="11">
        <f t="shared" si="8"/>
        <v>0.94963679830277781</v>
      </c>
      <c r="L99" s="9">
        <f>Test!B305</f>
        <v>282.01760000000002</v>
      </c>
      <c r="M99" s="10">
        <f>Test!C305</f>
        <v>47.384099999999997</v>
      </c>
      <c r="N99" s="10">
        <f>Test!D305</f>
        <v>45.7254</v>
      </c>
      <c r="O99" s="10">
        <f>Test!E305</f>
        <v>45.995600000000003</v>
      </c>
      <c r="P99" s="10">
        <f>Test!F305</f>
        <v>3385.1698930299999</v>
      </c>
      <c r="Q99" s="10">
        <f>Test!G305</f>
        <v>4.6354241371200002</v>
      </c>
      <c r="R99" s="11">
        <f t="shared" si="9"/>
        <v>0.94032497028611106</v>
      </c>
      <c r="S99" s="13">
        <f t="shared" si="10"/>
        <v>0.99019432689075537</v>
      </c>
      <c r="T99" s="13">
        <f t="shared" si="11"/>
        <v>0.89880449584090949</v>
      </c>
      <c r="U99" s="48"/>
      <c r="V99" s="30">
        <f>bdrate($D99:$D102,E99:E102,$L99:$L102,M99:M102)</f>
        <v>-9.3277271508984683E-6</v>
      </c>
      <c r="W99" s="35">
        <f>bdrate($D99:$D102,F99:F102,$L99:$L102,N99:N102)</f>
        <v>-7.9731332673915745E-6</v>
      </c>
      <c r="X99" s="35">
        <f>bdrate($D99:$D102,G99:G102,$L99:$L102,O99:O102)</f>
        <v>-8.0352481595102887E-6</v>
      </c>
      <c r="Y99" s="33">
        <f>bdrateOld($D99:$D102,E99:E102,$L99:$L102,M99:M102)</f>
        <v>-9.3236087277404067E-6</v>
      </c>
      <c r="Z99" s="37">
        <f>bdrateOld($D99:$D102,F99:F102,$L99:$L102,N99:N102)</f>
        <v>-8.3837432474087592E-6</v>
      </c>
      <c r="AA99" s="38">
        <f>bdrateOld($D99:$D102,G99:G102,$L99:$L102,O99:O102)</f>
        <v>-8.3447943798331536E-6</v>
      </c>
    </row>
    <row r="100" spans="1:27" x14ac:dyDescent="0.2">
      <c r="A100" s="25"/>
      <c r="B100" s="25"/>
      <c r="C100" s="25">
        <v>27</v>
      </c>
      <c r="D100" s="12">
        <f>Reference!B306</f>
        <v>209.2328</v>
      </c>
      <c r="E100" s="13">
        <f>Reference!C306</f>
        <v>43.103499999999997</v>
      </c>
      <c r="F100" s="13">
        <f>Reference!D306</f>
        <v>41.662399999999998</v>
      </c>
      <c r="G100" s="13">
        <f>Reference!E306</f>
        <v>42.099699999999999</v>
      </c>
      <c r="H100" s="13">
        <f>Reference!F306</f>
        <v>2972.62653899</v>
      </c>
      <c r="I100" s="13">
        <f>Reference!G306</f>
        <v>5.1232511997200003</v>
      </c>
      <c r="J100" s="14">
        <f t="shared" si="8"/>
        <v>0.82572959416388891</v>
      </c>
      <c r="L100" s="12">
        <f>Test!B306</f>
        <v>209.2312</v>
      </c>
      <c r="M100" s="13">
        <f>Test!C306</f>
        <v>43.103499999999997</v>
      </c>
      <c r="N100" s="13">
        <f>Test!D306</f>
        <v>41.662399999999998</v>
      </c>
      <c r="O100" s="13">
        <f>Test!E306</f>
        <v>42.099699999999999</v>
      </c>
      <c r="P100" s="13">
        <f>Test!F306</f>
        <v>2976.3074960700001</v>
      </c>
      <c r="Q100" s="13">
        <f>Test!G306</f>
        <v>4.5917580127699997</v>
      </c>
      <c r="R100" s="14">
        <f t="shared" si="9"/>
        <v>0.82675208224166674</v>
      </c>
      <c r="S100" s="13">
        <f t="shared" si="10"/>
        <v>1.0012382844032774</v>
      </c>
      <c r="T100" s="13">
        <f t="shared" si="11"/>
        <v>0.89625861269909068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Reference!B307</f>
        <v>156.5128</v>
      </c>
      <c r="E101" s="13">
        <f>Reference!C307</f>
        <v>38.480400000000003</v>
      </c>
      <c r="F101" s="13">
        <f>Reference!D307</f>
        <v>39.4754</v>
      </c>
      <c r="G101" s="13">
        <f>Reference!E307</f>
        <v>40.063899999999997</v>
      </c>
      <c r="H101" s="13">
        <f>Reference!F307</f>
        <v>2771.9407239000002</v>
      </c>
      <c r="I101" s="13">
        <f>Reference!G307</f>
        <v>4.8864848613699996</v>
      </c>
      <c r="J101" s="14">
        <f t="shared" si="8"/>
        <v>0.76998353441666667</v>
      </c>
      <c r="L101" s="12">
        <f>Test!B307</f>
        <v>156.5112</v>
      </c>
      <c r="M101" s="13">
        <f>Test!C307</f>
        <v>38.480400000000003</v>
      </c>
      <c r="N101" s="13">
        <f>Test!D307</f>
        <v>39.4754</v>
      </c>
      <c r="O101" s="13">
        <f>Test!E307</f>
        <v>40.063899999999997</v>
      </c>
      <c r="P101" s="13">
        <f>Test!F307</f>
        <v>2897.4331319299999</v>
      </c>
      <c r="Q101" s="13">
        <f>Test!G307</f>
        <v>5.1038279533399997</v>
      </c>
      <c r="R101" s="14">
        <f t="shared" si="9"/>
        <v>0.80484253664722216</v>
      </c>
      <c r="S101" s="13">
        <f t="shared" si="10"/>
        <v>1.0452723995675626</v>
      </c>
      <c r="T101" s="13">
        <f t="shared" si="11"/>
        <v>1.0444784130384197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Reference!B308</f>
        <v>112.124</v>
      </c>
      <c r="E102" s="17">
        <f>Reference!C308</f>
        <v>33.596600000000002</v>
      </c>
      <c r="F102" s="17">
        <f>Reference!D308</f>
        <v>38.323300000000003</v>
      </c>
      <c r="G102" s="17">
        <f>Reference!E308</f>
        <v>38.837800000000001</v>
      </c>
      <c r="H102" s="17">
        <f>Reference!F308</f>
        <v>2613.4252421900001</v>
      </c>
      <c r="I102" s="17">
        <f>Reference!G308</f>
        <v>4.7222969531999999</v>
      </c>
      <c r="J102" s="18">
        <f t="shared" si="8"/>
        <v>0.7259514561638889</v>
      </c>
      <c r="L102" s="16">
        <f>Test!B308</f>
        <v>112.1224</v>
      </c>
      <c r="M102" s="17">
        <f>Test!C308</f>
        <v>33.596600000000002</v>
      </c>
      <c r="N102" s="17">
        <f>Test!D308</f>
        <v>38.323300000000003</v>
      </c>
      <c r="O102" s="17">
        <f>Test!E308</f>
        <v>38.837800000000001</v>
      </c>
      <c r="P102" s="17">
        <f>Test!F308</f>
        <v>2717.5519759700001</v>
      </c>
      <c r="Q102" s="17">
        <f>Test!G308</f>
        <v>4.81632804871</v>
      </c>
      <c r="R102" s="18">
        <f t="shared" si="9"/>
        <v>0.75487554888055552</v>
      </c>
      <c r="S102" s="13">
        <f t="shared" si="10"/>
        <v>1.0398430121891467</v>
      </c>
      <c r="T102" s="13">
        <f t="shared" si="11"/>
        <v>1.0199121521670256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84</v>
      </c>
      <c r="C103" s="24">
        <v>22</v>
      </c>
      <c r="D103" s="9">
        <f>Reference!B309</f>
        <v>564.70659999999998</v>
      </c>
      <c r="E103" s="10">
        <f>Reference!C309</f>
        <v>49.424799999999998</v>
      </c>
      <c r="F103" s="10">
        <f>Reference!D309</f>
        <v>52.9621</v>
      </c>
      <c r="G103" s="10">
        <f>Reference!E309</f>
        <v>53.950200000000002</v>
      </c>
      <c r="H103" s="10">
        <f>Reference!F309</f>
        <v>14246.4198201</v>
      </c>
      <c r="I103" s="10">
        <f>Reference!G309</f>
        <v>14.3929159641</v>
      </c>
      <c r="J103" s="11">
        <f t="shared" si="8"/>
        <v>3.9573388389166668</v>
      </c>
      <c r="L103" s="9">
        <f>Test!B309</f>
        <v>564.70590000000004</v>
      </c>
      <c r="M103" s="10">
        <f>Test!C309</f>
        <v>49.424799999999998</v>
      </c>
      <c r="N103" s="10">
        <f>Test!D309</f>
        <v>52.9621</v>
      </c>
      <c r="O103" s="10">
        <f>Test!E309</f>
        <v>53.950200000000002</v>
      </c>
      <c r="P103" s="10">
        <f>Test!F309</f>
        <v>13951.753572899999</v>
      </c>
      <c r="Q103" s="10">
        <f>Test!G309</f>
        <v>12.9911651611</v>
      </c>
      <c r="R103" s="11">
        <f t="shared" si="9"/>
        <v>3.8754871035833331</v>
      </c>
      <c r="S103" s="13">
        <f t="shared" si="10"/>
        <v>0.9793164703187911</v>
      </c>
      <c r="T103" s="13">
        <f t="shared" si="11"/>
        <v>0.90260828267903714</v>
      </c>
      <c r="U103" s="48"/>
      <c r="V103" s="30">
        <f>bdrate($D103:$D106,E103:E106,$L103:$L106,M103:M106)</f>
        <v>-2.8185092634247511E-6</v>
      </c>
      <c r="W103" s="35">
        <f>bdrate($D103:$D106,F103:F106,$L103:$L106,N103:N106)</f>
        <v>-2.6263528495329425E-6</v>
      </c>
      <c r="X103" s="35">
        <f>bdrate($D103:$D106,G103:G106,$L103:$L106,O103:O106)</f>
        <v>-2.4341448190412507E-6</v>
      </c>
      <c r="Y103" s="33">
        <f>bdrateOld($D103:$D106,E103:E106,$L103:$L106,M103:M106)</f>
        <v>-2.8184127485175736E-6</v>
      </c>
      <c r="Z103" s="37">
        <f>bdrateOld($D103:$D106,F103:F106,$L103:$L106,N103:N106)</f>
        <v>-2.6327786544211307E-6</v>
      </c>
      <c r="AA103" s="38">
        <f>bdrateOld($D103:$D106,G103:G106,$L103:$L106,O103:O106)</f>
        <v>-2.4908588964756007E-6</v>
      </c>
    </row>
    <row r="104" spans="1:27" x14ac:dyDescent="0.2">
      <c r="A104" s="25"/>
      <c r="B104" s="25"/>
      <c r="C104" s="25">
        <v>27</v>
      </c>
      <c r="D104" s="12">
        <f>Reference!B310</f>
        <v>309.86430000000001</v>
      </c>
      <c r="E104" s="13">
        <f>Reference!C310</f>
        <v>45.429000000000002</v>
      </c>
      <c r="F104" s="13">
        <f>Reference!D310</f>
        <v>49.783000000000001</v>
      </c>
      <c r="G104" s="13">
        <f>Reference!E310</f>
        <v>50.926200000000001</v>
      </c>
      <c r="H104" s="13">
        <f>Reference!F310</f>
        <v>12059.399858999999</v>
      </c>
      <c r="I104" s="13">
        <f>Reference!G310</f>
        <v>12.8649301529</v>
      </c>
      <c r="J104" s="14">
        <f t="shared" si="8"/>
        <v>3.3498332941666664</v>
      </c>
      <c r="L104" s="12">
        <f>Test!B310</f>
        <v>309.86369999999999</v>
      </c>
      <c r="M104" s="13">
        <f>Test!C310</f>
        <v>45.429000000000002</v>
      </c>
      <c r="N104" s="13">
        <f>Test!D310</f>
        <v>49.783000000000001</v>
      </c>
      <c r="O104" s="13">
        <f>Test!E310</f>
        <v>50.926200000000001</v>
      </c>
      <c r="P104" s="13">
        <f>Test!F310</f>
        <v>12309.988955000001</v>
      </c>
      <c r="Q104" s="13">
        <f>Test!G310</f>
        <v>12.5429909229</v>
      </c>
      <c r="R104" s="14">
        <f t="shared" si="9"/>
        <v>3.4194413763888889</v>
      </c>
      <c r="S104" s="13">
        <f t="shared" si="10"/>
        <v>1.0207795660588355</v>
      </c>
      <c r="T104" s="13">
        <f t="shared" si="11"/>
        <v>0.97497543895118399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Reference!B311</f>
        <v>176.86080000000001</v>
      </c>
      <c r="E105" s="13">
        <f>Reference!C311</f>
        <v>41.684199999999997</v>
      </c>
      <c r="F105" s="13">
        <f>Reference!D311</f>
        <v>47.393300000000004</v>
      </c>
      <c r="G105" s="13">
        <f>Reference!E311</f>
        <v>48.4559</v>
      </c>
      <c r="H105" s="13">
        <f>Reference!F311</f>
        <v>9883.6216070699993</v>
      </c>
      <c r="I105" s="13">
        <f>Reference!G311</f>
        <v>11.992263078700001</v>
      </c>
      <c r="J105" s="14">
        <f t="shared" si="8"/>
        <v>2.7454504464083334</v>
      </c>
      <c r="L105" s="12">
        <f>Test!B311</f>
        <v>176.86019999999999</v>
      </c>
      <c r="M105" s="13">
        <f>Test!C311</f>
        <v>41.684199999999997</v>
      </c>
      <c r="N105" s="13">
        <f>Test!D311</f>
        <v>47.393300000000004</v>
      </c>
      <c r="O105" s="13">
        <f>Test!E311</f>
        <v>48.4559</v>
      </c>
      <c r="P105" s="13">
        <f>Test!F311</f>
        <v>10090.980867099999</v>
      </c>
      <c r="Q105" s="13">
        <f>Test!G311</f>
        <v>11.503205060999999</v>
      </c>
      <c r="R105" s="14">
        <f t="shared" si="9"/>
        <v>2.8030502408611109</v>
      </c>
      <c r="S105" s="13">
        <f t="shared" si="10"/>
        <v>1.0209800889060414</v>
      </c>
      <c r="T105" s="13">
        <f t="shared" si="11"/>
        <v>0.95921887182673304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Reference!B312</f>
        <v>106.7664</v>
      </c>
      <c r="E106" s="17">
        <f>Reference!C312</f>
        <v>37.966299999999997</v>
      </c>
      <c r="F106" s="17">
        <f>Reference!D312</f>
        <v>45.310899999999997</v>
      </c>
      <c r="G106" s="17">
        <f>Reference!E312</f>
        <v>47.1417</v>
      </c>
      <c r="H106" s="17">
        <f>Reference!F312</f>
        <v>8029.4559729100001</v>
      </c>
      <c r="I106" s="17">
        <f>Reference!G312</f>
        <v>11.038130044900001</v>
      </c>
      <c r="J106" s="18">
        <f t="shared" si="8"/>
        <v>2.2304044369194447</v>
      </c>
      <c r="L106" s="16">
        <f>Test!B312</f>
        <v>106.7658</v>
      </c>
      <c r="M106" s="17">
        <f>Test!C312</f>
        <v>37.966299999999997</v>
      </c>
      <c r="N106" s="17">
        <f>Test!D312</f>
        <v>45.310899999999997</v>
      </c>
      <c r="O106" s="17">
        <f>Test!E312</f>
        <v>47.1417</v>
      </c>
      <c r="P106" s="17">
        <f>Test!F312</f>
        <v>8352.0299129499999</v>
      </c>
      <c r="Q106" s="17">
        <f>Test!G312</f>
        <v>11.4366030693</v>
      </c>
      <c r="R106" s="18">
        <f t="shared" si="9"/>
        <v>2.3200083091527777</v>
      </c>
      <c r="S106" s="17">
        <f t="shared" si="10"/>
        <v>1.0401738226261292</v>
      </c>
      <c r="T106" s="17">
        <f t="shared" si="11"/>
        <v>1.036099685615147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10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11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12</v>
      </c>
      <c r="I109" s="48">
        <f>GEOMEAN(I27:I46)</f>
        <v>62.308881479379366</v>
      </c>
      <c r="J109" s="48">
        <f>GEOMEAN(J27:J46)</f>
        <v>24.702238244851312</v>
      </c>
      <c r="Q109" s="48">
        <f>GEOMEAN(Q27:Q46)</f>
        <v>60.575647410637202</v>
      </c>
      <c r="R109" s="48">
        <f>GEOMEAN(R27:R46)</f>
        <v>24.436203163581343</v>
      </c>
      <c r="S109" s="48">
        <f>GEOMEAN(S27:S46)</f>
        <v>0.98923032485425011</v>
      </c>
      <c r="T109" s="48">
        <f>GEOMEAN(T27:T46)</f>
        <v>0.97218319399112041</v>
      </c>
      <c r="V109" s="33">
        <f t="shared" ref="V109:AA109" si="12">AVERAGE(V27:V46)</f>
        <v>-5.3535220962963596E-7</v>
      </c>
      <c r="W109" s="37">
        <f t="shared" si="12"/>
        <v>-4.6735645191642307E-7</v>
      </c>
      <c r="X109" s="37">
        <f t="shared" si="12"/>
        <v>-4.7238043259234531E-7</v>
      </c>
      <c r="Y109" s="33">
        <f t="shared" si="12"/>
        <v>-5.3618063011739991E-7</v>
      </c>
      <c r="Z109" s="37">
        <f t="shared" si="12"/>
        <v>-4.8862059771614956E-7</v>
      </c>
      <c r="AA109" s="38">
        <f t="shared" si="12"/>
        <v>-3.9289152731214472E-7</v>
      </c>
    </row>
    <row r="110" spans="1:27" x14ac:dyDescent="0.2">
      <c r="B110" s="15" t="s">
        <v>13</v>
      </c>
      <c r="I110" s="48">
        <f>GEOMEAN(I47:I62)</f>
        <v>12.203174201699131</v>
      </c>
      <c r="J110" s="48">
        <f>GEOMEAN(J47:J62)</f>
        <v>4.914454312723965</v>
      </c>
      <c r="Q110" s="48">
        <f>GEOMEAN(Q47:Q62)</f>
        <v>11.363606655795946</v>
      </c>
      <c r="R110" s="48">
        <f>GEOMEAN(R47:R62)</f>
        <v>4.8321846497959529</v>
      </c>
      <c r="S110" s="48">
        <f>GEOMEAN(S47:S62)</f>
        <v>0.98325965454292485</v>
      </c>
      <c r="T110" s="48">
        <f>GEOMEAN(T47:T62)</f>
        <v>0.93120088822576308</v>
      </c>
      <c r="V110" s="33">
        <f t="shared" ref="V110:AA110" si="13">AVERAGE(V47:V62)</f>
        <v>-1.426948528560068E-6</v>
      </c>
      <c r="W110" s="37">
        <f t="shared" si="13"/>
        <v>-1.2836723007336737E-6</v>
      </c>
      <c r="X110" s="37">
        <f t="shared" si="13"/>
        <v>-1.2761438073494169E-6</v>
      </c>
      <c r="Y110" s="33">
        <f t="shared" si="13"/>
        <v>-1.4339410411845499E-6</v>
      </c>
      <c r="Z110" s="37">
        <f t="shared" si="13"/>
        <v>-1.3258541286531589E-6</v>
      </c>
      <c r="AA110" s="38">
        <f t="shared" si="13"/>
        <v>-1.3127214077146565E-6</v>
      </c>
    </row>
    <row r="111" spans="1:27" x14ac:dyDescent="0.2">
      <c r="B111" s="15" t="s">
        <v>17</v>
      </c>
      <c r="I111" s="48">
        <f>GEOMEAN(I63:I78)</f>
        <v>0.17155621938178348</v>
      </c>
      <c r="J111" s="48">
        <f>GEOMEAN(J63:J78)</f>
        <v>4.7808628520844033E-2</v>
      </c>
      <c r="Q111" s="48">
        <f>GEOMEAN(Q63:Q78)</f>
        <v>0.16446364820139198</v>
      </c>
      <c r="R111" s="48">
        <f>GEOMEAN(R63:R78)</f>
        <v>4.6192414800256522E-2</v>
      </c>
      <c r="S111" s="48">
        <f>GEOMEAN(S63:S78)</f>
        <v>0.96619409988130367</v>
      </c>
      <c r="T111" s="48">
        <f>GEOMEAN(T63:T78)</f>
        <v>0.95865745231533939</v>
      </c>
      <c r="V111" s="33">
        <f t="shared" ref="V111:AA111" si="14">AVERAGE(V63:V78)</f>
        <v>-4.1389724256637728E-3</v>
      </c>
      <c r="W111" s="37">
        <f t="shared" si="14"/>
        <v>-2.9590470848913447E-2</v>
      </c>
      <c r="X111" s="37">
        <f t="shared" si="14"/>
        <v>-3.159592786783183E-2</v>
      </c>
      <c r="Y111" s="33">
        <f t="shared" si="14"/>
        <v>-4.1729801790989507E-3</v>
      </c>
      <c r="Z111" s="37">
        <f t="shared" si="14"/>
        <v>-2.5891807073044421E-2</v>
      </c>
      <c r="AA111" s="38">
        <f t="shared" si="14"/>
        <v>-2.8167173251084532E-2</v>
      </c>
    </row>
    <row r="112" spans="1:27" x14ac:dyDescent="0.2">
      <c r="B112" s="15" t="s">
        <v>14</v>
      </c>
      <c r="I112" s="48">
        <f>GEOMEAN(I79:I90)</f>
        <v>15.921551870024427</v>
      </c>
      <c r="J112" s="48">
        <f>GEOMEAN(J79:J90)</f>
        <v>4.3942986138679254</v>
      </c>
      <c r="Q112" s="48">
        <f>GEOMEAN(Q79:Q90)</f>
        <v>16.055265530277797</v>
      </c>
      <c r="R112" s="48">
        <f>GEOMEAN(R79:R90)</f>
        <v>4.4642233988588282</v>
      </c>
      <c r="S112" s="48">
        <f>GEOMEAN(S79:S90)</f>
        <v>1.0159126156720955</v>
      </c>
      <c r="T112" s="48">
        <f>GEOMEAN(T79:T90)</f>
        <v>1.0083982806038596</v>
      </c>
      <c r="V112" s="33">
        <f t="shared" ref="V112:AA112" si="15">AVERAGE(V79:V88)</f>
        <v>-1.2940333791433703E-2</v>
      </c>
      <c r="W112" s="37">
        <f t="shared" si="15"/>
        <v>-5.028619786140668E-2</v>
      </c>
      <c r="X112" s="37">
        <f t="shared" si="15"/>
        <v>-2.7355564299015089E-2</v>
      </c>
      <c r="Y112" s="33">
        <f t="shared" si="15"/>
        <v>-1.3332278041329526E-2</v>
      </c>
      <c r="Z112" s="37">
        <f t="shared" si="15"/>
        <v>-5.1819902007586273E-2</v>
      </c>
      <c r="AA112" s="38">
        <f t="shared" si="15"/>
        <v>-2.9053316417290104E-2</v>
      </c>
    </row>
    <row r="113" spans="1:27" ht="12.75" customHeight="1" thickBot="1" x14ac:dyDescent="0.25">
      <c r="B113" s="15" t="s">
        <v>103</v>
      </c>
      <c r="I113" s="48">
        <f>GEOMEAN(I91:I106)</f>
        <v>14.082200856516057</v>
      </c>
      <c r="J113" s="48">
        <f>GEOMEAN(J91:J106)</f>
        <v>3.9534558805109494</v>
      </c>
      <c r="Q113" s="48">
        <f>GEOMEAN(Q91:Q106)</f>
        <v>13.490417129361091</v>
      </c>
      <c r="R113" s="48">
        <f>GEOMEAN(R91:R106)</f>
        <v>3.96842757243135</v>
      </c>
      <c r="S113" s="48">
        <f>GEOMEAN(S91:S106)</f>
        <v>1.0037869884913111</v>
      </c>
      <c r="T113" s="48">
        <f>GEOMEAN(T91:T106)</f>
        <v>0.95797647447407785</v>
      </c>
      <c r="V113" s="33">
        <f t="shared" ref="V113:AA113" si="16">AVERAGE(V91:V106)</f>
        <v>-3.5613001060086358E-6</v>
      </c>
      <c r="W113" s="37">
        <f t="shared" si="16"/>
        <v>-3.1384928180777649E-6</v>
      </c>
      <c r="X113" s="37">
        <f t="shared" si="16"/>
        <v>-3.1078708656873122E-6</v>
      </c>
      <c r="Y113" s="33">
        <f t="shared" si="16"/>
        <v>-3.5619396072106291E-6</v>
      </c>
      <c r="Z113" s="37">
        <f t="shared" si="16"/>
        <v>-3.248946170431033E-6</v>
      </c>
      <c r="AA113" s="38">
        <f t="shared" si="16"/>
        <v>-3.2043238109291661E-6</v>
      </c>
    </row>
    <row r="114" spans="1:27" ht="12.75" customHeight="1" thickBot="1" x14ac:dyDescent="0.25">
      <c r="A114" s="1"/>
      <c r="B114" s="2" t="s">
        <v>104</v>
      </c>
      <c r="C114" s="2"/>
      <c r="D114" s="2"/>
      <c r="E114" s="2"/>
      <c r="F114" s="2"/>
      <c r="G114" s="2"/>
      <c r="H114" s="2"/>
      <c r="I114" s="50">
        <f>GEOMEAN(I3:I62,I79:I90)</f>
        <v>25.726641854276586</v>
      </c>
      <c r="J114" s="50">
        <f>GEOMEAN(J3:J62,J79:J90)</f>
        <v>9.3652840263869539</v>
      </c>
      <c r="K114" s="2"/>
      <c r="L114" s="2"/>
      <c r="M114" s="2"/>
      <c r="N114" s="2"/>
      <c r="O114" s="2"/>
      <c r="P114" s="2"/>
      <c r="Q114" s="50">
        <f>GEOMEAN(Q3:Q62,Q79:Q90)</f>
        <v>24.880969420332143</v>
      </c>
      <c r="R114" s="50">
        <f>GEOMEAN(R3:R62,R79:R90)</f>
        <v>9.3074713202695634</v>
      </c>
      <c r="S114" s="50">
        <f>GEOMEAN(S3:S62,S79:S90)</f>
        <v>0.99382691374287191</v>
      </c>
      <c r="T114" s="50">
        <f>GEOMEAN(T3:T62,T79:T90)</f>
        <v>0.96712853396356246</v>
      </c>
      <c r="U114" s="2"/>
      <c r="V114" s="34">
        <f t="shared" ref="V114:AA114" si="17">AVERAGE(V3:V62,V79:V90)</f>
        <v>-3.235782160788625E-3</v>
      </c>
      <c r="W114" s="39">
        <f t="shared" si="17"/>
        <v>-1.2572172087973546E-2</v>
      </c>
      <c r="X114" s="39">
        <f t="shared" si="17"/>
        <v>-6.8395132812031356E-3</v>
      </c>
      <c r="Y114" s="34">
        <f t="shared" si="17"/>
        <v>-3.3337708992753254E-3</v>
      </c>
      <c r="Z114" s="39">
        <f t="shared" si="17"/>
        <v>-1.2955621045188501E-2</v>
      </c>
      <c r="AA114" s="40">
        <f t="shared" si="17"/>
        <v>-7.263930382928145E-3</v>
      </c>
    </row>
    <row r="115" spans="1:27" x14ac:dyDescent="0.2">
      <c r="B115" s="15" t="s">
        <v>105</v>
      </c>
      <c r="I115" s="81">
        <f>GEOMEAN(I3:I106)</f>
        <v>8.3723092323577255</v>
      </c>
      <c r="J115" s="81">
        <f>GEOMEAN(J3:J106)</f>
        <v>2.7428951602114058</v>
      </c>
      <c r="Q115" s="81">
        <f>GEOMEAN(Q3:Q106)</f>
        <v>8.0675086200914929</v>
      </c>
      <c r="R115" s="81">
        <f>GEOMEAN(R3:R106)</f>
        <v>2.7160442984878905</v>
      </c>
      <c r="S115" s="81"/>
      <c r="T115" s="81"/>
    </row>
    <row r="116" spans="1:27" x14ac:dyDescent="0.2">
      <c r="B116" s="15" t="s">
        <v>106</v>
      </c>
      <c r="Q116" s="19">
        <f>Q115/I115</f>
        <v>0.96359420038043697</v>
      </c>
      <c r="R116" s="19">
        <f>R115/J115</f>
        <v>0.99021075901368183</v>
      </c>
      <c r="S116" s="19"/>
      <c r="T116" s="19"/>
    </row>
    <row r="117" spans="1:27" x14ac:dyDescent="0.2">
      <c r="B117" s="15" t="s">
        <v>107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8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117"/>
  <sheetViews>
    <sheetView topLeftCell="G49" workbookViewId="0">
      <selection activeCell="J65" sqref="J65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12" t="s">
        <v>85</v>
      </c>
      <c r="E1" s="113"/>
      <c r="F1" s="113"/>
      <c r="G1" s="113"/>
      <c r="H1" s="113"/>
      <c r="I1" s="113"/>
      <c r="J1" s="114"/>
      <c r="L1" s="112" t="s">
        <v>86</v>
      </c>
      <c r="M1" s="113"/>
      <c r="N1" s="113"/>
      <c r="O1" s="113"/>
      <c r="P1" s="113"/>
      <c r="Q1" s="113"/>
      <c r="R1" s="114"/>
      <c r="S1" s="27"/>
      <c r="T1" s="27"/>
      <c r="U1" s="5"/>
      <c r="V1" s="112" t="s">
        <v>87</v>
      </c>
      <c r="W1" s="113"/>
      <c r="X1" s="114"/>
      <c r="Y1" s="112" t="s">
        <v>88</v>
      </c>
      <c r="Z1" s="113"/>
      <c r="AA1" s="114"/>
    </row>
    <row r="2" spans="1:27" ht="12.75" customHeight="1" thickBot="1" x14ac:dyDescent="0.25">
      <c r="A2" s="46"/>
      <c r="B2" s="42"/>
      <c r="C2" s="41" t="s">
        <v>89</v>
      </c>
      <c r="D2" s="6" t="s">
        <v>49</v>
      </c>
      <c r="E2" s="7" t="s">
        <v>50</v>
      </c>
      <c r="F2" s="7" t="s">
        <v>51</v>
      </c>
      <c r="G2" s="7" t="s">
        <v>52</v>
      </c>
      <c r="H2" s="7" t="s">
        <v>90</v>
      </c>
      <c r="I2" s="7" t="s">
        <v>91</v>
      </c>
      <c r="J2" s="8" t="s">
        <v>92</v>
      </c>
      <c r="K2" s="5"/>
      <c r="L2" s="6" t="s">
        <v>49</v>
      </c>
      <c r="M2" s="7" t="s">
        <v>50</v>
      </c>
      <c r="N2" s="7" t="s">
        <v>51</v>
      </c>
      <c r="O2" s="7" t="s">
        <v>52</v>
      </c>
      <c r="P2" s="7" t="s">
        <v>90</v>
      </c>
      <c r="Q2" s="7" t="s">
        <v>91</v>
      </c>
      <c r="R2" s="8" t="s">
        <v>92</v>
      </c>
      <c r="S2" s="5" t="s">
        <v>108</v>
      </c>
      <c r="T2" s="5" t="s">
        <v>109</v>
      </c>
      <c r="U2" s="5"/>
      <c r="V2" s="6" t="s">
        <v>3</v>
      </c>
      <c r="W2" s="7" t="s">
        <v>4</v>
      </c>
      <c r="X2" s="8" t="s">
        <v>5</v>
      </c>
      <c r="Y2" s="6" t="s">
        <v>3</v>
      </c>
      <c r="Z2" s="7" t="s">
        <v>4</v>
      </c>
      <c r="AA2" s="8" t="s">
        <v>5</v>
      </c>
    </row>
    <row r="3" spans="1:27" x14ac:dyDescent="0.2">
      <c r="A3" s="24" t="s">
        <v>10</v>
      </c>
      <c r="B3" s="24" t="s">
        <v>48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95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54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56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11</v>
      </c>
      <c r="B15" s="24" t="s">
        <v>58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95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59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60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12</v>
      </c>
      <c r="B27" s="24" t="s">
        <v>61</v>
      </c>
      <c r="C27" s="24">
        <v>22</v>
      </c>
      <c r="D27" s="9">
        <f>Reference!B337</f>
        <v>19117.307199999999</v>
      </c>
      <c r="E27" s="10">
        <f>Reference!C337</f>
        <v>40.992699999999999</v>
      </c>
      <c r="F27" s="10">
        <f>Reference!D337</f>
        <v>44.010800000000003</v>
      </c>
      <c r="G27" s="10">
        <f>Reference!E337</f>
        <v>44.736600000000003</v>
      </c>
      <c r="H27" s="10">
        <f>Reference!F337</f>
        <v>151610.94698099999</v>
      </c>
      <c r="I27" s="10">
        <f>Reference!G337</f>
        <v>97.525726079899997</v>
      </c>
      <c r="J27" s="11">
        <f t="shared" ref="J27:J58" si="0">H27/3600</f>
        <v>42.114151939166661</v>
      </c>
      <c r="L27" s="9">
        <f>Test!B337</f>
        <v>19117.3056</v>
      </c>
      <c r="M27" s="10">
        <f>Test!C337</f>
        <v>40.992699999999999</v>
      </c>
      <c r="N27" s="10">
        <f>Test!D337</f>
        <v>44.010800000000003</v>
      </c>
      <c r="O27" s="10">
        <f>Test!E337</f>
        <v>44.736600000000003</v>
      </c>
      <c r="P27" s="10">
        <f>Test!F337</f>
        <v>148810.74208600001</v>
      </c>
      <c r="Q27" s="10">
        <f>Test!G337</f>
        <v>95.378373861300005</v>
      </c>
      <c r="R27" s="11">
        <f t="shared" ref="R27:R58" si="1">P27/3600</f>
        <v>41.336317246111115</v>
      </c>
      <c r="S27" s="10">
        <f t="shared" ref="S27:S58" si="2">P27/H27</f>
        <v>0.98153032514630423</v>
      </c>
      <c r="T27" s="10">
        <f t="shared" ref="T27:T58" si="3">Q27/I27</f>
        <v>0.97798168437279076</v>
      </c>
      <c r="U27" s="47"/>
      <c r="V27" s="30">
        <f>bdrate($D27:$D30,E27:E30,$L27:$L30,M27:M30)</f>
        <v>-4.3993868936720304E-7</v>
      </c>
      <c r="W27" s="35">
        <f>bdrate($D27:$D30,F27:F30,$L27:$L30,N27:N30)</f>
        <v>-3.6465377983851965E-7</v>
      </c>
      <c r="X27" s="36">
        <f>bdrate($D27:$D30,G27:G30,$L27:$L30,O27:O30)</f>
        <v>-3.8036311622580143E-7</v>
      </c>
      <c r="Y27" s="30">
        <f>bdrateOld($D27:$D30,E27:E30,$L27:$L30,M27:M30)</f>
        <v>-4.4004577826051161E-7</v>
      </c>
      <c r="Z27" s="35">
        <f>bdrateOld($D27:$D30,F27:F30,$L27:$L30,N27:N30)</f>
        <v>-3.6727793795154895E-7</v>
      </c>
      <c r="AA27" s="36">
        <f>bdrateOld($D27:$D30,G27:G30,$L27:$L30,O27:O30)</f>
        <v>-4.2201409011788371E-7</v>
      </c>
    </row>
    <row r="28" spans="1:27" x14ac:dyDescent="0.2">
      <c r="A28" s="25" t="s">
        <v>96</v>
      </c>
      <c r="B28" s="25"/>
      <c r="C28" s="25">
        <v>27</v>
      </c>
      <c r="D28" s="12">
        <f>Reference!B338</f>
        <v>6895.2471999999998</v>
      </c>
      <c r="E28" s="13">
        <f>Reference!C338</f>
        <v>38.545299999999997</v>
      </c>
      <c r="F28" s="13">
        <f>Reference!D338</f>
        <v>42.159199999999998</v>
      </c>
      <c r="G28" s="13">
        <f>Reference!E338</f>
        <v>43.064900000000002</v>
      </c>
      <c r="H28" s="13">
        <f>Reference!F338</f>
        <v>78166.913218999995</v>
      </c>
      <c r="I28" s="13">
        <f>Reference!G338</f>
        <v>74.825481176400004</v>
      </c>
      <c r="J28" s="14">
        <f t="shared" si="0"/>
        <v>21.713031449722219</v>
      </c>
      <c r="L28" s="12">
        <f>Test!B338</f>
        <v>6895.2456000000002</v>
      </c>
      <c r="M28" s="13">
        <f>Test!C338</f>
        <v>38.545299999999997</v>
      </c>
      <c r="N28" s="13">
        <f>Test!D338</f>
        <v>42.159199999999998</v>
      </c>
      <c r="O28" s="13">
        <f>Test!E338</f>
        <v>43.064900000000002</v>
      </c>
      <c r="P28" s="13">
        <f>Test!F338</f>
        <v>77133.513851199998</v>
      </c>
      <c r="Q28" s="13">
        <f>Test!G338</f>
        <v>72.9695179462</v>
      </c>
      <c r="R28" s="14">
        <f t="shared" si="1"/>
        <v>21.425976069777779</v>
      </c>
      <c r="S28" s="13">
        <f t="shared" si="2"/>
        <v>0.98677958070437388</v>
      </c>
      <c r="T28" s="13">
        <f t="shared" si="3"/>
        <v>0.97519610698092807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Reference!B339</f>
        <v>3050.2031999999999</v>
      </c>
      <c r="E29" s="13">
        <f>Reference!C339</f>
        <v>36.137900000000002</v>
      </c>
      <c r="F29" s="13">
        <f>Reference!D339</f>
        <v>40.759900000000002</v>
      </c>
      <c r="G29" s="13">
        <f>Reference!E339</f>
        <v>41.712000000000003</v>
      </c>
      <c r="H29" s="13">
        <f>Reference!F339</f>
        <v>51447.058352</v>
      </c>
      <c r="I29" s="13">
        <f>Reference!G339</f>
        <v>62.200373888000001</v>
      </c>
      <c r="J29" s="14">
        <f t="shared" si="0"/>
        <v>14.290849542222222</v>
      </c>
      <c r="L29" s="12">
        <f>Test!B339</f>
        <v>3050.2015999999999</v>
      </c>
      <c r="M29" s="13">
        <f>Test!C339</f>
        <v>36.137900000000002</v>
      </c>
      <c r="N29" s="13">
        <f>Test!D339</f>
        <v>40.759900000000002</v>
      </c>
      <c r="O29" s="13">
        <f>Test!E339</f>
        <v>41.712000000000003</v>
      </c>
      <c r="P29" s="13">
        <f>Test!F339</f>
        <v>50770.573788900001</v>
      </c>
      <c r="Q29" s="13">
        <f>Test!G339</f>
        <v>60.262130975700003</v>
      </c>
      <c r="R29" s="14">
        <f t="shared" si="1"/>
        <v>14.102937163583334</v>
      </c>
      <c r="S29" s="13">
        <f t="shared" si="2"/>
        <v>0.98685086018968271</v>
      </c>
      <c r="T29" s="13">
        <f t="shared" si="3"/>
        <v>0.96883872569978335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Reference!B340</f>
        <v>1370.6479999999999</v>
      </c>
      <c r="E30" s="17">
        <f>Reference!C340</f>
        <v>33.701900000000002</v>
      </c>
      <c r="F30" s="17">
        <f>Reference!D340</f>
        <v>39.765700000000002</v>
      </c>
      <c r="G30" s="17">
        <f>Reference!E340</f>
        <v>40.6845</v>
      </c>
      <c r="H30" s="17">
        <f>Reference!F340</f>
        <v>35168.187917900003</v>
      </c>
      <c r="I30" s="17">
        <f>Reference!G340</f>
        <v>50.711044073099998</v>
      </c>
      <c r="J30" s="18">
        <f t="shared" si="0"/>
        <v>9.7689410883055565</v>
      </c>
      <c r="L30" s="16">
        <f>Test!B340</f>
        <v>1370.6464000000001</v>
      </c>
      <c r="M30" s="17">
        <f>Test!C340</f>
        <v>33.701900000000002</v>
      </c>
      <c r="N30" s="17">
        <f>Test!D340</f>
        <v>39.765700000000002</v>
      </c>
      <c r="O30" s="17">
        <f>Test!E340</f>
        <v>40.6845</v>
      </c>
      <c r="P30" s="17">
        <f>Test!F340</f>
        <v>34811.770901900003</v>
      </c>
      <c r="Q30" s="17">
        <f>Test!G340</f>
        <v>49.5263080597</v>
      </c>
      <c r="R30" s="18">
        <f t="shared" si="1"/>
        <v>9.6699363616388894</v>
      </c>
      <c r="S30" s="13">
        <f t="shared" si="2"/>
        <v>0.98986535738400705</v>
      </c>
      <c r="T30" s="13">
        <f t="shared" si="3"/>
        <v>0.97663751486377992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62</v>
      </c>
      <c r="C31" s="24">
        <v>22</v>
      </c>
      <c r="D31" s="9">
        <f>Reference!B341</f>
        <v>11337.8824</v>
      </c>
      <c r="E31" s="10">
        <f>Reference!C341</f>
        <v>44.246200000000002</v>
      </c>
      <c r="F31" s="10">
        <f>Reference!D341</f>
        <v>47.064799999999998</v>
      </c>
      <c r="G31" s="10">
        <f>Reference!E341</f>
        <v>47.799300000000002</v>
      </c>
      <c r="H31" s="10">
        <f>Reference!F341</f>
        <v>138922.81304499999</v>
      </c>
      <c r="I31" s="10">
        <f>Reference!G341</f>
        <v>88.538750171700002</v>
      </c>
      <c r="J31" s="11">
        <f t="shared" si="0"/>
        <v>38.589670290277773</v>
      </c>
      <c r="L31" s="9">
        <f>Test!B341</f>
        <v>11337.880800000001</v>
      </c>
      <c r="M31" s="10">
        <f>Test!C341</f>
        <v>44.246200000000002</v>
      </c>
      <c r="N31" s="10">
        <f>Test!D341</f>
        <v>47.064799999999998</v>
      </c>
      <c r="O31" s="10">
        <f>Test!E341</f>
        <v>47.799300000000002</v>
      </c>
      <c r="P31" s="10">
        <f>Test!F341</f>
        <v>135790.91278000001</v>
      </c>
      <c r="Q31" s="10">
        <f>Test!G341</f>
        <v>85.890425920499993</v>
      </c>
      <c r="R31" s="11">
        <f t="shared" si="1"/>
        <v>37.719697994444445</v>
      </c>
      <c r="S31" s="13">
        <f t="shared" si="2"/>
        <v>0.97745582459530611</v>
      </c>
      <c r="T31" s="13">
        <f t="shared" si="3"/>
        <v>0.9700885290783503</v>
      </c>
      <c r="U31" s="48"/>
      <c r="V31" s="30">
        <f>bdrate($D31:$D34,E31:E34,$L31:$L34,M31:M34)</f>
        <v>-4.3547856676262597E-7</v>
      </c>
      <c r="W31" s="35">
        <f>bdrate($D31:$D34,F31:F34,$L31:$L34,N31:N34)</f>
        <v>-3.750446774253291E-7</v>
      </c>
      <c r="X31" s="35">
        <f>bdrate($D31:$D34,G31:G34,$L31:$L34,O31:O34)</f>
        <v>-3.8386024903136473E-7</v>
      </c>
      <c r="Y31" s="33">
        <f>bdrateOld($D31:$D34,E31:E34,$L31:$L34,M31:M34)</f>
        <v>-4.3656032799876954E-7</v>
      </c>
      <c r="Z31" s="37">
        <f>bdrateOld($D31:$D34,F31:F34,$L31:$L34,N31:N34)</f>
        <v>-3.974933074912812E-7</v>
      </c>
      <c r="AA31" s="38">
        <f>bdrateOld($D31:$D34,G31:G34,$L31:$L34,O31:O34)</f>
        <v>-3.974754266833358E-7</v>
      </c>
    </row>
    <row r="32" spans="1:27" x14ac:dyDescent="0.2">
      <c r="A32" s="25"/>
      <c r="B32" s="25"/>
      <c r="C32" s="25">
        <v>27</v>
      </c>
      <c r="D32" s="12">
        <f>Reference!B342</f>
        <v>5620.8368</v>
      </c>
      <c r="E32" s="13">
        <f>Reference!C342</f>
        <v>40.978999999999999</v>
      </c>
      <c r="F32" s="13">
        <f>Reference!D342</f>
        <v>44.703400000000002</v>
      </c>
      <c r="G32" s="13">
        <f>Reference!E342</f>
        <v>45.237400000000001</v>
      </c>
      <c r="H32" s="13">
        <f>Reference!F342</f>
        <v>92321.025924000001</v>
      </c>
      <c r="I32" s="13">
        <f>Reference!G342</f>
        <v>74.379987001399996</v>
      </c>
      <c r="J32" s="14">
        <f t="shared" si="0"/>
        <v>25.644729423333334</v>
      </c>
      <c r="L32" s="12">
        <f>Test!B342</f>
        <v>5620.8352000000004</v>
      </c>
      <c r="M32" s="13">
        <f>Test!C342</f>
        <v>40.978999999999999</v>
      </c>
      <c r="N32" s="13">
        <f>Test!D342</f>
        <v>44.703400000000002</v>
      </c>
      <c r="O32" s="13">
        <f>Test!E342</f>
        <v>45.237400000000001</v>
      </c>
      <c r="P32" s="13">
        <f>Test!F342</f>
        <v>90216.226850000006</v>
      </c>
      <c r="Q32" s="13">
        <f>Test!G342</f>
        <v>72.5067269802</v>
      </c>
      <c r="R32" s="14">
        <f t="shared" si="1"/>
        <v>25.06006301388889</v>
      </c>
      <c r="S32" s="13">
        <f t="shared" si="2"/>
        <v>0.977201303246644</v>
      </c>
      <c r="T32" s="13">
        <f t="shared" si="3"/>
        <v>0.97481499934700533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Reference!B343</f>
        <v>2971.6808000000001</v>
      </c>
      <c r="E33" s="13">
        <f>Reference!C343</f>
        <v>37.8626</v>
      </c>
      <c r="F33" s="13">
        <f>Reference!D343</f>
        <v>43.126199999999997</v>
      </c>
      <c r="G33" s="13">
        <f>Reference!E343</f>
        <v>43.484900000000003</v>
      </c>
      <c r="H33" s="13">
        <f>Reference!F343</f>
        <v>67877.658762899999</v>
      </c>
      <c r="I33" s="13">
        <f>Reference!G343</f>
        <v>63.717275142699997</v>
      </c>
      <c r="J33" s="14">
        <f t="shared" si="0"/>
        <v>18.854905211916666</v>
      </c>
      <c r="L33" s="12">
        <f>Test!B343</f>
        <v>2971.6792</v>
      </c>
      <c r="M33" s="13">
        <f>Test!C343</f>
        <v>37.8626</v>
      </c>
      <c r="N33" s="13">
        <f>Test!D343</f>
        <v>43.126199999999997</v>
      </c>
      <c r="O33" s="13">
        <f>Test!E343</f>
        <v>43.484900000000003</v>
      </c>
      <c r="P33" s="13">
        <f>Test!F343</f>
        <v>67046.744381900004</v>
      </c>
      <c r="Q33" s="13">
        <f>Test!G343</f>
        <v>64.312632083899999</v>
      </c>
      <c r="R33" s="14">
        <f t="shared" si="1"/>
        <v>18.62409566163889</v>
      </c>
      <c r="S33" s="13">
        <f t="shared" si="2"/>
        <v>0.98775864701075766</v>
      </c>
      <c r="T33" s="13">
        <f t="shared" si="3"/>
        <v>1.0093437288375351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Reference!B344</f>
        <v>1612.2488000000001</v>
      </c>
      <c r="E34" s="17">
        <f>Reference!C344</f>
        <v>35.031500000000001</v>
      </c>
      <c r="F34" s="17">
        <f>Reference!D344</f>
        <v>42.022300000000001</v>
      </c>
      <c r="G34" s="17">
        <f>Reference!E344</f>
        <v>42.168300000000002</v>
      </c>
      <c r="H34" s="17">
        <f>Reference!F344</f>
        <v>46383.225803100002</v>
      </c>
      <c r="I34" s="17">
        <f>Reference!G344</f>
        <v>54.528388977100001</v>
      </c>
      <c r="J34" s="18">
        <f t="shared" si="0"/>
        <v>12.884229389750001</v>
      </c>
      <c r="L34" s="16">
        <f>Test!B344</f>
        <v>1612.2472</v>
      </c>
      <c r="M34" s="17">
        <f>Test!C344</f>
        <v>35.031500000000001</v>
      </c>
      <c r="N34" s="17">
        <f>Test!D344</f>
        <v>42.022300000000001</v>
      </c>
      <c r="O34" s="17">
        <f>Test!E344</f>
        <v>42.168300000000002</v>
      </c>
      <c r="P34" s="17">
        <f>Test!F344</f>
        <v>46019.786629900002</v>
      </c>
      <c r="Q34" s="17">
        <f>Test!G344</f>
        <v>52.762517929099999</v>
      </c>
      <c r="R34" s="18">
        <f t="shared" si="1"/>
        <v>12.783274063861112</v>
      </c>
      <c r="S34" s="13">
        <f t="shared" si="2"/>
        <v>0.99216442653767067</v>
      </c>
      <c r="T34" s="13">
        <f t="shared" si="3"/>
        <v>0.96761556537565041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63</v>
      </c>
      <c r="C35" s="24">
        <v>22</v>
      </c>
      <c r="D35" s="9">
        <f>Reference!B345</f>
        <v>20808.448799999998</v>
      </c>
      <c r="E35" s="10">
        <f>Reference!C345</f>
        <v>38.856400000000001</v>
      </c>
      <c r="F35" s="10">
        <f>Reference!D345</f>
        <v>40.371099999999998</v>
      </c>
      <c r="G35" s="10">
        <f>Reference!E345</f>
        <v>43.560200000000002</v>
      </c>
      <c r="H35" s="10">
        <f>Reference!F345</f>
        <v>122422.771809</v>
      </c>
      <c r="I35" s="10">
        <f>Reference!G345</f>
        <v>86.811892986299995</v>
      </c>
      <c r="J35" s="11">
        <f t="shared" si="0"/>
        <v>34.006325502499998</v>
      </c>
      <c r="L35" s="9">
        <f>Test!B345</f>
        <v>20808.447199999999</v>
      </c>
      <c r="M35" s="10">
        <f>Test!C345</f>
        <v>38.856400000000001</v>
      </c>
      <c r="N35" s="10">
        <f>Test!D345</f>
        <v>40.371099999999998</v>
      </c>
      <c r="O35" s="10">
        <f>Test!E345</f>
        <v>43.560200000000002</v>
      </c>
      <c r="P35" s="10">
        <f>Test!F345</f>
        <v>119641.404261</v>
      </c>
      <c r="Q35" s="10">
        <f>Test!G345</f>
        <v>84.386520862599994</v>
      </c>
      <c r="R35" s="11">
        <f t="shared" si="1"/>
        <v>33.233723405833331</v>
      </c>
      <c r="S35" s="13">
        <f t="shared" si="2"/>
        <v>0.97728063572731882</v>
      </c>
      <c r="T35" s="13">
        <f t="shared" si="3"/>
        <v>0.9720617528282357</v>
      </c>
      <c r="U35" s="48"/>
      <c r="V35" s="30">
        <f>bdrate($D35:$D38,E35:E38,$L35:$L38,M35:M38)</f>
        <v>-6.125315678007226E-7</v>
      </c>
      <c r="W35" s="35">
        <f>bdrate($D35:$D38,F35:F38,$L35:$L38,N35:N38)</f>
        <v>-4.9926003653499862E-7</v>
      </c>
      <c r="X35" s="35">
        <f>bdrate($D35:$D38,G35:G38,$L35:$L38,O35:O38)</f>
        <v>-5.2941544359530468E-7</v>
      </c>
      <c r="Y35" s="33">
        <f>bdrateOld($D35:$D38,E35:E38,$L35:$L38,M35:M38)</f>
        <v>-6.1270892126596976E-7</v>
      </c>
      <c r="Z35" s="37">
        <f>bdrateOld($D35:$D38,F35:F38,$L35:$L38,N35:N38)</f>
        <v>-8.2453212701949496E-7</v>
      </c>
      <c r="AA35" s="38">
        <f>bdrateOld($D35:$D38,G35:G38,$L35:$L38,O35:O38)</f>
        <v>-5.3852622006189677E-7</v>
      </c>
    </row>
    <row r="36" spans="1:27" x14ac:dyDescent="0.2">
      <c r="A36" s="25"/>
      <c r="B36" s="25"/>
      <c r="C36" s="25">
        <v>27</v>
      </c>
      <c r="D36" s="12">
        <f>Reference!B346</f>
        <v>4950.6664000000001</v>
      </c>
      <c r="E36" s="13">
        <f>Reference!C346</f>
        <v>36.869100000000003</v>
      </c>
      <c r="F36" s="13">
        <f>Reference!D346</f>
        <v>39.113100000000003</v>
      </c>
      <c r="G36" s="13">
        <f>Reference!E346</f>
        <v>41.7898</v>
      </c>
      <c r="H36" s="13">
        <f>Reference!F346</f>
        <v>67733.432117000004</v>
      </c>
      <c r="I36" s="13">
        <f>Reference!G346</f>
        <v>53.636682987199997</v>
      </c>
      <c r="J36" s="14">
        <f t="shared" si="0"/>
        <v>18.814842254722222</v>
      </c>
      <c r="L36" s="12">
        <f>Test!B346</f>
        <v>4950.6647999999996</v>
      </c>
      <c r="M36" s="13">
        <f>Test!C346</f>
        <v>36.869100000000003</v>
      </c>
      <c r="N36" s="13">
        <f>Test!D346</f>
        <v>39.113100000000003</v>
      </c>
      <c r="O36" s="13">
        <f>Test!E346</f>
        <v>41.7898</v>
      </c>
      <c r="P36" s="13">
        <f>Test!F346</f>
        <v>67069.831816000005</v>
      </c>
      <c r="Q36" s="13">
        <f>Test!G346</f>
        <v>53.053350925399997</v>
      </c>
      <c r="R36" s="14">
        <f t="shared" si="1"/>
        <v>18.630508837777779</v>
      </c>
      <c r="S36" s="13">
        <f t="shared" si="2"/>
        <v>0.99020276575009925</v>
      </c>
      <c r="T36" s="13">
        <f t="shared" si="3"/>
        <v>0.98912438224527777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Reference!B347</f>
        <v>2182.4879999999998</v>
      </c>
      <c r="E37" s="13">
        <f>Reference!C347</f>
        <v>34.835099999999997</v>
      </c>
      <c r="F37" s="13">
        <f>Reference!D347</f>
        <v>38.277999999999999</v>
      </c>
      <c r="G37" s="13">
        <f>Reference!E347</f>
        <v>40.316099999999999</v>
      </c>
      <c r="H37" s="13">
        <f>Reference!F347</f>
        <v>45635.717938900001</v>
      </c>
      <c r="I37" s="13">
        <f>Reference!G347</f>
        <v>43.035540103899997</v>
      </c>
      <c r="J37" s="14">
        <f t="shared" si="0"/>
        <v>12.676588316361112</v>
      </c>
      <c r="L37" s="12">
        <f>Test!B347</f>
        <v>2182.4863999999998</v>
      </c>
      <c r="M37" s="13">
        <f>Test!C347</f>
        <v>34.835099999999997</v>
      </c>
      <c r="N37" s="13">
        <f>Test!D347</f>
        <v>38.277999999999999</v>
      </c>
      <c r="O37" s="13">
        <f>Test!E347</f>
        <v>40.316099999999999</v>
      </c>
      <c r="P37" s="13">
        <f>Test!F347</f>
        <v>44718.550309899998</v>
      </c>
      <c r="Q37" s="13">
        <f>Test!G347</f>
        <v>41.7299361229</v>
      </c>
      <c r="R37" s="14">
        <f t="shared" si="1"/>
        <v>12.421819530527777</v>
      </c>
      <c r="S37" s="13">
        <f t="shared" si="2"/>
        <v>0.97990241700091218</v>
      </c>
      <c r="T37" s="13">
        <f t="shared" si="3"/>
        <v>0.96966219134585274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Reference!B348</f>
        <v>1062.7016000000001</v>
      </c>
      <c r="E38" s="17">
        <f>Reference!C348</f>
        <v>32.633499999999998</v>
      </c>
      <c r="F38" s="17">
        <f>Reference!D348</f>
        <v>37.556600000000003</v>
      </c>
      <c r="G38" s="17">
        <f>Reference!E348</f>
        <v>39.108400000000003</v>
      </c>
      <c r="H38" s="17">
        <f>Reference!F348</f>
        <v>30724.979379199998</v>
      </c>
      <c r="I38" s="17">
        <f>Reference!G348</f>
        <v>36.513552904100003</v>
      </c>
      <c r="J38" s="18">
        <f t="shared" si="0"/>
        <v>8.5347164942222218</v>
      </c>
      <c r="L38" s="16">
        <f>Test!B348</f>
        <v>1062.7</v>
      </c>
      <c r="M38" s="17">
        <f>Test!C348</f>
        <v>32.633499999999998</v>
      </c>
      <c r="N38" s="17">
        <f>Test!D348</f>
        <v>37.556600000000003</v>
      </c>
      <c r="O38" s="17">
        <f>Test!E348</f>
        <v>39.108400000000003</v>
      </c>
      <c r="P38" s="17">
        <f>Test!F348</f>
        <v>30299.0261641</v>
      </c>
      <c r="Q38" s="17">
        <f>Test!G348</f>
        <v>35.211422204999998</v>
      </c>
      <c r="R38" s="18">
        <f t="shared" si="1"/>
        <v>8.4163961566944447</v>
      </c>
      <c r="S38" s="13">
        <f t="shared" si="2"/>
        <v>0.98613658255574432</v>
      </c>
      <c r="T38" s="13">
        <f t="shared" si="3"/>
        <v>0.96433842791141278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68</v>
      </c>
      <c r="C39" s="24">
        <v>22</v>
      </c>
      <c r="D39" s="9">
        <f>Reference!B349</f>
        <v>18516.039199999999</v>
      </c>
      <c r="E39" s="10">
        <f>Reference!C349</f>
        <v>39.627200000000002</v>
      </c>
      <c r="F39" s="10">
        <f>Reference!D349</f>
        <v>44.042499999999997</v>
      </c>
      <c r="G39" s="10">
        <f>Reference!E349</f>
        <v>45.494199999999999</v>
      </c>
      <c r="H39" s="10">
        <f>Reference!F349</f>
        <v>171242.33564599999</v>
      </c>
      <c r="I39" s="10">
        <f>Reference!G349</f>
        <v>85.449045896499996</v>
      </c>
      <c r="J39" s="11">
        <f t="shared" si="0"/>
        <v>47.567315457222222</v>
      </c>
      <c r="L39" s="9">
        <f>Test!B349</f>
        <v>18516.0376</v>
      </c>
      <c r="M39" s="10">
        <f>Test!C349</f>
        <v>39.627200000000002</v>
      </c>
      <c r="N39" s="10">
        <f>Test!D349</f>
        <v>44.042499999999997</v>
      </c>
      <c r="O39" s="10">
        <f>Test!E349</f>
        <v>45.494199999999999</v>
      </c>
      <c r="P39" s="10">
        <f>Test!F349</f>
        <v>170190.20867200001</v>
      </c>
      <c r="Q39" s="10">
        <f>Test!G349</f>
        <v>84.507226943999996</v>
      </c>
      <c r="R39" s="11">
        <f t="shared" si="1"/>
        <v>47.27505796444445</v>
      </c>
      <c r="S39" s="13">
        <f t="shared" si="2"/>
        <v>0.99385591787199756</v>
      </c>
      <c r="T39" s="13">
        <f t="shared" si="3"/>
        <v>0.98897800504828604</v>
      </c>
      <c r="U39" s="48"/>
      <c r="V39" s="30">
        <f>bdrate($D39:$D42,E39:E42,$L39:$L42,M39:M42)</f>
        <v>-4.7424412374930114E-7</v>
      </c>
      <c r="W39" s="35">
        <f>bdrate($D39:$D42,F39:F42,$L39:$L42,N39:N42)</f>
        <v>-4.3283208939204343E-7</v>
      </c>
      <c r="X39" s="35">
        <f>bdrate($D39:$D42,G39:G42,$L39:$L42,O39:O42)</f>
        <v>-4.1994830746183709E-7</v>
      </c>
      <c r="Y39" s="33">
        <f>bdrateOld($D39:$D42,E39:E42,$L39:$L42,M39:M42)</f>
        <v>-4.7643107803363449E-7</v>
      </c>
      <c r="Z39" s="37">
        <f>bdrateOld($D39:$D42,F39:F42,$L39:$L42,N39:N42)</f>
        <v>-3.917465500880013E-7</v>
      </c>
      <c r="AA39" s="38">
        <f>bdrateOld($D39:$D42,G39:G42,$L39:$L42,O39:O42)</f>
        <v>-4.3044085507037977E-7</v>
      </c>
    </row>
    <row r="40" spans="1:27" x14ac:dyDescent="0.2">
      <c r="A40" s="25"/>
      <c r="B40" s="25"/>
      <c r="C40" s="25">
        <v>27</v>
      </c>
      <c r="D40" s="12">
        <f>Reference!B350</f>
        <v>5862.1048000000001</v>
      </c>
      <c r="E40" s="13">
        <f>Reference!C350</f>
        <v>37.695500000000003</v>
      </c>
      <c r="F40" s="13">
        <f>Reference!D350</f>
        <v>42.724299999999999</v>
      </c>
      <c r="G40" s="13">
        <f>Reference!E350</f>
        <v>43.413499999999999</v>
      </c>
      <c r="H40" s="13">
        <f>Reference!F350</f>
        <v>96458.3046799</v>
      </c>
      <c r="I40" s="13">
        <f>Reference!G350</f>
        <v>63.323291063299997</v>
      </c>
      <c r="J40" s="14">
        <f t="shared" si="0"/>
        <v>26.793973522194445</v>
      </c>
      <c r="L40" s="12">
        <f>Test!B350</f>
        <v>5862.1031999999996</v>
      </c>
      <c r="M40" s="13">
        <f>Test!C350</f>
        <v>37.695500000000003</v>
      </c>
      <c r="N40" s="13">
        <f>Test!D350</f>
        <v>42.724299999999999</v>
      </c>
      <c r="O40" s="13">
        <f>Test!E350</f>
        <v>43.413499999999999</v>
      </c>
      <c r="P40" s="13">
        <f>Test!F350</f>
        <v>94466.862481100005</v>
      </c>
      <c r="Q40" s="13">
        <f>Test!G350</f>
        <v>61.915913105000001</v>
      </c>
      <c r="R40" s="14">
        <f t="shared" si="1"/>
        <v>26.24079513363889</v>
      </c>
      <c r="S40" s="13">
        <f t="shared" si="2"/>
        <v>0.97935437279963955</v>
      </c>
      <c r="T40" s="13">
        <f t="shared" si="3"/>
        <v>0.9777747186751059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Reference!B351</f>
        <v>2763.3319999999999</v>
      </c>
      <c r="E41" s="13">
        <f>Reference!C351</f>
        <v>35.830300000000001</v>
      </c>
      <c r="F41" s="13">
        <f>Reference!D351</f>
        <v>41.607399999999998</v>
      </c>
      <c r="G41" s="13">
        <f>Reference!E351</f>
        <v>41.842300000000002</v>
      </c>
      <c r="H41" s="13">
        <f>Reference!F351</f>
        <v>60761.9898789</v>
      </c>
      <c r="I41" s="13">
        <f>Reference!G351</f>
        <v>53.089091062500003</v>
      </c>
      <c r="J41" s="14">
        <f t="shared" si="0"/>
        <v>16.878330521916666</v>
      </c>
      <c r="L41" s="12">
        <f>Test!B351</f>
        <v>2763.3303999999998</v>
      </c>
      <c r="M41" s="13">
        <f>Test!C351</f>
        <v>35.830300000000001</v>
      </c>
      <c r="N41" s="13">
        <f>Test!D351</f>
        <v>41.607399999999998</v>
      </c>
      <c r="O41" s="13">
        <f>Test!E351</f>
        <v>41.842300000000002</v>
      </c>
      <c r="P41" s="13">
        <f>Test!F351</f>
        <v>59765.286683799997</v>
      </c>
      <c r="Q41" s="13">
        <f>Test!G351</f>
        <v>51.812100887299998</v>
      </c>
      <c r="R41" s="14">
        <f t="shared" si="1"/>
        <v>16.601468523277777</v>
      </c>
      <c r="S41" s="13">
        <f t="shared" si="2"/>
        <v>0.98359660048845576</v>
      </c>
      <c r="T41" s="13">
        <f t="shared" si="3"/>
        <v>0.97594627917632559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Reference!B352</f>
        <v>1430.568</v>
      </c>
      <c r="E42" s="17">
        <f>Reference!C352</f>
        <v>33.85</v>
      </c>
      <c r="F42" s="17">
        <f>Reference!D352</f>
        <v>40.633299999999998</v>
      </c>
      <c r="G42" s="17">
        <f>Reference!E352</f>
        <v>40.4574</v>
      </c>
      <c r="H42" s="17">
        <f>Reference!F352</f>
        <v>39732.195501100003</v>
      </c>
      <c r="I42" s="17">
        <f>Reference!G352</f>
        <v>46.633613824800001</v>
      </c>
      <c r="J42" s="18">
        <f t="shared" si="0"/>
        <v>11.036720972527778</v>
      </c>
      <c r="L42" s="16">
        <f>Test!B352</f>
        <v>1430.5663999999999</v>
      </c>
      <c r="M42" s="17">
        <f>Test!C352</f>
        <v>33.85</v>
      </c>
      <c r="N42" s="17">
        <f>Test!D352</f>
        <v>40.633299999999998</v>
      </c>
      <c r="O42" s="17">
        <f>Test!E352</f>
        <v>40.4574</v>
      </c>
      <c r="P42" s="17">
        <f>Test!F352</f>
        <v>39163.925111999997</v>
      </c>
      <c r="Q42" s="17">
        <f>Test!G352</f>
        <v>45.1907310486</v>
      </c>
      <c r="R42" s="18">
        <f t="shared" si="1"/>
        <v>10.878868086666666</v>
      </c>
      <c r="S42" s="13">
        <f t="shared" si="2"/>
        <v>0.98569748331465168</v>
      </c>
      <c r="T42" s="13">
        <f t="shared" si="3"/>
        <v>0.96905916874422737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69</v>
      </c>
      <c r="C43" s="24">
        <v>22</v>
      </c>
      <c r="D43" s="9">
        <f>Reference!B353</f>
        <v>60441.447999999997</v>
      </c>
      <c r="E43" s="10">
        <f>Reference!C353</f>
        <v>38.470100000000002</v>
      </c>
      <c r="F43" s="10">
        <f>Reference!D353</f>
        <v>42.086199999999998</v>
      </c>
      <c r="G43" s="10">
        <f>Reference!E353</f>
        <v>44.184600000000003</v>
      </c>
      <c r="H43" s="10">
        <f>Reference!F353</f>
        <v>139170.901732</v>
      </c>
      <c r="I43" s="10">
        <f>Reference!G353</f>
        <v>159.141217947</v>
      </c>
      <c r="J43" s="11">
        <f t="shared" si="0"/>
        <v>38.658583814444441</v>
      </c>
      <c r="L43" s="9">
        <f>Test!B353</f>
        <v>60441.446400000001</v>
      </c>
      <c r="M43" s="10">
        <f>Test!C353</f>
        <v>38.470100000000002</v>
      </c>
      <c r="N43" s="10">
        <f>Test!D353</f>
        <v>42.086199999999998</v>
      </c>
      <c r="O43" s="10">
        <f>Test!E353</f>
        <v>44.184600000000003</v>
      </c>
      <c r="P43" s="10">
        <f>Test!F353</f>
        <v>135338.94170600001</v>
      </c>
      <c r="Q43" s="10">
        <f>Test!G353</f>
        <v>155.63165187800001</v>
      </c>
      <c r="R43" s="11">
        <f t="shared" si="1"/>
        <v>37.594150473888895</v>
      </c>
      <c r="S43" s="13">
        <f t="shared" si="2"/>
        <v>0.97246579580709225</v>
      </c>
      <c r="T43" s="13">
        <f t="shared" si="3"/>
        <v>0.97794684422882316</v>
      </c>
      <c r="U43" s="48"/>
      <c r="V43" s="30">
        <f>bdrate($D43:$D46,E43:E46,$L43:$L46,M43:M46)</f>
        <v>-5.7208246584394828E-7</v>
      </c>
      <c r="W43" s="35">
        <f>bdrate($D43:$D46,F43:F46,$L43:$L46,N43:N46)</f>
        <v>-5.5158353551298944E-7</v>
      </c>
      <c r="X43" s="35">
        <f>bdrate($D43:$D46,G43:G46,$L43:$L46,O43:O46)</f>
        <v>-5.685756807594089E-7</v>
      </c>
      <c r="Y43" s="33">
        <f>bdrateOld($D43:$D46,E43:E46,$L43:$L46,M43:M46)</f>
        <v>-5.7103621131648907E-7</v>
      </c>
      <c r="Z43" s="37">
        <f>bdrateOld($D43:$D46,F43:F46,$L43:$L46,N43:N46)</f>
        <v>-5.5509723762003915E-7</v>
      </c>
      <c r="AA43" s="38">
        <f>bdrateOld($D43:$D46,G43:G46,$L43:$L46,O43:O46)</f>
        <v>2.0896318542185099E-7</v>
      </c>
    </row>
    <row r="44" spans="1:27" x14ac:dyDescent="0.2">
      <c r="A44" s="25"/>
      <c r="B44" s="25"/>
      <c r="C44" s="25">
        <v>27</v>
      </c>
      <c r="D44" s="12">
        <f>Reference!B354</f>
        <v>8077.9255999999996</v>
      </c>
      <c r="E44" s="13">
        <f>Reference!C354</f>
        <v>35.355800000000002</v>
      </c>
      <c r="F44" s="13">
        <f>Reference!D354</f>
        <v>40.7393</v>
      </c>
      <c r="G44" s="13">
        <f>Reference!E354</f>
        <v>43.105400000000003</v>
      </c>
      <c r="H44" s="13">
        <f>Reference!F354</f>
        <v>54422.759094000001</v>
      </c>
      <c r="I44" s="13">
        <f>Reference!G354</f>
        <v>70.603775978100003</v>
      </c>
      <c r="J44" s="14">
        <f t="shared" si="0"/>
        <v>15.117433081666666</v>
      </c>
      <c r="L44" s="12">
        <f>Test!B354</f>
        <v>8077.924</v>
      </c>
      <c r="M44" s="13">
        <f>Test!C354</f>
        <v>35.355800000000002</v>
      </c>
      <c r="N44" s="13">
        <f>Test!D354</f>
        <v>40.7393</v>
      </c>
      <c r="O44" s="13">
        <f>Test!E354</f>
        <v>43.105400000000003</v>
      </c>
      <c r="P44" s="13">
        <f>Test!F354</f>
        <v>52918.6322019</v>
      </c>
      <c r="Q44" s="13">
        <f>Test!G354</f>
        <v>68.140432119400003</v>
      </c>
      <c r="R44" s="14">
        <f t="shared" si="1"/>
        <v>14.699620056083333</v>
      </c>
      <c r="S44" s="13">
        <f t="shared" si="2"/>
        <v>0.97236217132060421</v>
      </c>
      <c r="T44" s="13">
        <f t="shared" si="3"/>
        <v>0.96511030997174874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Reference!B355</f>
        <v>1914.56</v>
      </c>
      <c r="E45" s="13">
        <f>Reference!C355</f>
        <v>33.638500000000001</v>
      </c>
      <c r="F45" s="13">
        <f>Reference!D355</f>
        <v>39.597499999999997</v>
      </c>
      <c r="G45" s="13">
        <f>Reference!E355</f>
        <v>42.203299999999999</v>
      </c>
      <c r="H45" s="13">
        <f>Reference!F355</f>
        <v>30710.570791999999</v>
      </c>
      <c r="I45" s="13">
        <f>Reference!G355</f>
        <v>48.157195091200002</v>
      </c>
      <c r="J45" s="14">
        <f t="shared" si="0"/>
        <v>8.5307141088888887</v>
      </c>
      <c r="L45" s="12">
        <f>Test!B355</f>
        <v>1914.5583999999999</v>
      </c>
      <c r="M45" s="13">
        <f>Test!C355</f>
        <v>33.638500000000001</v>
      </c>
      <c r="N45" s="13">
        <f>Test!D355</f>
        <v>39.597499999999997</v>
      </c>
      <c r="O45" s="13">
        <f>Test!E355</f>
        <v>42.203299999999999</v>
      </c>
      <c r="P45" s="13">
        <f>Test!F355</f>
        <v>29949.7850258</v>
      </c>
      <c r="Q45" s="13">
        <f>Test!G355</f>
        <v>45.304564952900002</v>
      </c>
      <c r="R45" s="14">
        <f t="shared" si="1"/>
        <v>8.3193847293888883</v>
      </c>
      <c r="S45" s="13">
        <f t="shared" si="2"/>
        <v>0.97522723457819349</v>
      </c>
      <c r="T45" s="13">
        <f t="shared" si="3"/>
        <v>0.94076419665020572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Reference!B356</f>
        <v>704.63120000000004</v>
      </c>
      <c r="E46" s="17">
        <f>Reference!C356</f>
        <v>31.6053</v>
      </c>
      <c r="F46" s="17">
        <f>Reference!D356</f>
        <v>38.746699999999997</v>
      </c>
      <c r="G46" s="17">
        <f>Reference!E356</f>
        <v>41.4786</v>
      </c>
      <c r="H46" s="17">
        <f>Reference!F356</f>
        <v>18343.946445000001</v>
      </c>
      <c r="I46" s="17">
        <f>Reference!G356</f>
        <v>36.4550039768</v>
      </c>
      <c r="J46" s="18">
        <f t="shared" si="0"/>
        <v>5.0955406791666666</v>
      </c>
      <c r="L46" s="16">
        <f>Test!B356</f>
        <v>704.62959999999998</v>
      </c>
      <c r="M46" s="17">
        <f>Test!C356</f>
        <v>31.6053</v>
      </c>
      <c r="N46" s="17">
        <f>Test!D356</f>
        <v>38.746699999999997</v>
      </c>
      <c r="O46" s="17">
        <f>Test!E356</f>
        <v>41.4786</v>
      </c>
      <c r="P46" s="17">
        <f>Test!F356</f>
        <v>17991.440788</v>
      </c>
      <c r="Q46" s="17">
        <f>Test!G356</f>
        <v>34.664056062699999</v>
      </c>
      <c r="R46" s="18">
        <f t="shared" si="1"/>
        <v>4.997622441111111</v>
      </c>
      <c r="S46" s="13">
        <f t="shared" si="2"/>
        <v>0.98078354305836501</v>
      </c>
      <c r="T46" s="13">
        <f t="shared" si="3"/>
        <v>0.95087237090305177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13</v>
      </c>
      <c r="B47" s="24" t="s">
        <v>70</v>
      </c>
      <c r="C47" s="24">
        <v>22</v>
      </c>
      <c r="D47" s="9">
        <f>Reference!B357</f>
        <v>3390.0920000000001</v>
      </c>
      <c r="E47" s="10">
        <f>Reference!C357</f>
        <v>40.509</v>
      </c>
      <c r="F47" s="10">
        <f>Reference!D357</f>
        <v>43.299300000000002</v>
      </c>
      <c r="G47" s="10">
        <f>Reference!E357</f>
        <v>43.988199999999999</v>
      </c>
      <c r="H47" s="10">
        <f>Reference!F357</f>
        <v>23395.1578329</v>
      </c>
      <c r="I47" s="10">
        <f>Reference!G357</f>
        <v>17.0377941132</v>
      </c>
      <c r="J47" s="11">
        <f t="shared" si="0"/>
        <v>6.4986549535833333</v>
      </c>
      <c r="L47" s="9">
        <f>Test!B357</f>
        <v>3390.0904</v>
      </c>
      <c r="M47" s="10">
        <f>Test!C357</f>
        <v>40.509</v>
      </c>
      <c r="N47" s="10">
        <f>Test!D357</f>
        <v>43.299300000000002</v>
      </c>
      <c r="O47" s="10">
        <f>Test!E357</f>
        <v>43.988199999999999</v>
      </c>
      <c r="P47" s="10">
        <f>Test!F357</f>
        <v>23214.253277100001</v>
      </c>
      <c r="Q47" s="10">
        <f>Test!G357</f>
        <v>16.227030038799999</v>
      </c>
      <c r="R47" s="11">
        <f t="shared" si="1"/>
        <v>6.4484036880833333</v>
      </c>
      <c r="S47" s="10">
        <f t="shared" si="2"/>
        <v>0.99226743597576428</v>
      </c>
      <c r="T47" s="10">
        <f t="shared" si="3"/>
        <v>0.95241378848615954</v>
      </c>
      <c r="U47" s="47"/>
      <c r="V47" s="30">
        <f>bdrate($D47:$D50,E47:E50,$L47:$L50,M47:M50)</f>
        <v>-1.6254085110078975E-6</v>
      </c>
      <c r="W47" s="35">
        <f>bdrate($D47:$D50,F47:F50,$L47:$L50,N47:N50)</f>
        <v>-1.566647031547852E-6</v>
      </c>
      <c r="X47" s="36">
        <f>bdrate($D47:$D50,G47:G50,$L47:$L50,O47:O50)</f>
        <v>-1.5503909337466482E-6</v>
      </c>
      <c r="Y47" s="30">
        <f>bdrateOld($D47:$D50,E47:E50,$L47:$L50,M47:M50)</f>
        <v>-1.6337615469375066E-6</v>
      </c>
      <c r="Z47" s="35">
        <f>bdrateOld($D47:$D50,F47:F50,$L47:$L50,N47:N50)</f>
        <v>-1.5812435053552676E-6</v>
      </c>
      <c r="AA47" s="36">
        <f>bdrateOld($D47:$D50,G47:G50,$L47:$L50,O47:O50)</f>
        <v>-1.562489647222165E-6</v>
      </c>
    </row>
    <row r="48" spans="1:27" x14ac:dyDescent="0.2">
      <c r="A48" s="25" t="s">
        <v>97</v>
      </c>
      <c r="B48" s="25"/>
      <c r="C48" s="25">
        <v>27</v>
      </c>
      <c r="D48" s="12">
        <f>Reference!B358</f>
        <v>1526.28</v>
      </c>
      <c r="E48" s="13">
        <f>Reference!C358</f>
        <v>37.2483</v>
      </c>
      <c r="F48" s="13">
        <f>Reference!D358</f>
        <v>40.818100000000001</v>
      </c>
      <c r="G48" s="13">
        <f>Reference!E358</f>
        <v>41.198700000000002</v>
      </c>
      <c r="H48" s="13">
        <f>Reference!F358</f>
        <v>17795.8762288</v>
      </c>
      <c r="I48" s="13">
        <f>Reference!G358</f>
        <v>12.847714185699999</v>
      </c>
      <c r="J48" s="14">
        <f t="shared" si="0"/>
        <v>4.9432989524444446</v>
      </c>
      <c r="L48" s="12">
        <f>Test!B358</f>
        <v>1526.2783999999999</v>
      </c>
      <c r="M48" s="13">
        <f>Test!C358</f>
        <v>37.2483</v>
      </c>
      <c r="N48" s="13">
        <f>Test!D358</f>
        <v>40.818100000000001</v>
      </c>
      <c r="O48" s="13">
        <f>Test!E358</f>
        <v>41.198700000000002</v>
      </c>
      <c r="P48" s="13">
        <f>Test!F358</f>
        <v>17353.732248100001</v>
      </c>
      <c r="Q48" s="13">
        <f>Test!G358</f>
        <v>11.6953940392</v>
      </c>
      <c r="R48" s="14">
        <f t="shared" si="1"/>
        <v>4.8204811800277785</v>
      </c>
      <c r="S48" s="13">
        <f t="shared" si="2"/>
        <v>0.9751546945474675</v>
      </c>
      <c r="T48" s="13">
        <f t="shared" si="3"/>
        <v>0.91030932585793545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Reference!B359</f>
        <v>750.77440000000001</v>
      </c>
      <c r="E49" s="13">
        <f>Reference!C359</f>
        <v>34.4863</v>
      </c>
      <c r="F49" s="13">
        <f>Reference!D359</f>
        <v>39.005499999999998</v>
      </c>
      <c r="G49" s="13">
        <f>Reference!E359</f>
        <v>39.306899999999999</v>
      </c>
      <c r="H49" s="13">
        <f>Reference!F359</f>
        <v>12723.177706</v>
      </c>
      <c r="I49" s="13">
        <f>Reference!G359</f>
        <v>10.3364400864</v>
      </c>
      <c r="J49" s="14">
        <f t="shared" si="0"/>
        <v>3.5342160294444445</v>
      </c>
      <c r="L49" s="12">
        <f>Test!B359</f>
        <v>750.77279999999996</v>
      </c>
      <c r="M49" s="13">
        <f>Test!C359</f>
        <v>34.4863</v>
      </c>
      <c r="N49" s="13">
        <f>Test!D359</f>
        <v>39.005499999999998</v>
      </c>
      <c r="O49" s="13">
        <f>Test!E359</f>
        <v>39.306899999999999</v>
      </c>
      <c r="P49" s="13">
        <f>Test!F359</f>
        <v>12528.616258100001</v>
      </c>
      <c r="Q49" s="13">
        <f>Test!G359</f>
        <v>9.5455358028399999</v>
      </c>
      <c r="R49" s="14">
        <f t="shared" si="1"/>
        <v>3.4801711828055559</v>
      </c>
      <c r="S49" s="13">
        <f t="shared" si="2"/>
        <v>0.9847081089020514</v>
      </c>
      <c r="T49" s="13">
        <f t="shared" si="3"/>
        <v>0.92348388062534037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Reference!B360</f>
        <v>393.86959999999999</v>
      </c>
      <c r="E50" s="17">
        <f>Reference!C360</f>
        <v>32.101199999999999</v>
      </c>
      <c r="F50" s="17">
        <f>Reference!D360</f>
        <v>37.426099999999998</v>
      </c>
      <c r="G50" s="17">
        <f>Reference!E360</f>
        <v>37.593800000000002</v>
      </c>
      <c r="H50" s="17">
        <f>Reference!F360</f>
        <v>8860.7271580699999</v>
      </c>
      <c r="I50" s="17">
        <f>Reference!G360</f>
        <v>8.2559220790900003</v>
      </c>
      <c r="J50" s="18">
        <f t="shared" si="0"/>
        <v>2.4613130994638888</v>
      </c>
      <c r="L50" s="16">
        <f>Test!B360</f>
        <v>393.86799999999999</v>
      </c>
      <c r="M50" s="17">
        <f>Test!C360</f>
        <v>32.101199999999999</v>
      </c>
      <c r="N50" s="17">
        <f>Test!D360</f>
        <v>37.426099999999998</v>
      </c>
      <c r="O50" s="17">
        <f>Test!E360</f>
        <v>37.593800000000002</v>
      </c>
      <c r="P50" s="17">
        <f>Test!F360</f>
        <v>8718.3260939100001</v>
      </c>
      <c r="Q50" s="17">
        <f>Test!G360</f>
        <v>7.83191800117</v>
      </c>
      <c r="R50" s="18">
        <f t="shared" si="1"/>
        <v>2.4217572483083334</v>
      </c>
      <c r="S50" s="13">
        <f t="shared" si="2"/>
        <v>0.98392896411099773</v>
      </c>
      <c r="T50" s="13">
        <f t="shared" si="3"/>
        <v>0.94864243220101518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71</v>
      </c>
      <c r="C51" s="24">
        <v>22</v>
      </c>
      <c r="D51" s="9">
        <f>Reference!B361</f>
        <v>3855.0736000000002</v>
      </c>
      <c r="E51" s="10">
        <f>Reference!C361</f>
        <v>40.389200000000002</v>
      </c>
      <c r="F51" s="10">
        <f>Reference!D361</f>
        <v>43.496499999999997</v>
      </c>
      <c r="G51" s="10">
        <f>Reference!E361</f>
        <v>44.971299999999999</v>
      </c>
      <c r="H51" s="10">
        <f>Reference!F361</f>
        <v>20523.634621099998</v>
      </c>
      <c r="I51" s="10">
        <f>Reference!G361</f>
        <v>19.698035001800001</v>
      </c>
      <c r="J51" s="11">
        <f t="shared" si="0"/>
        <v>5.7010096169722217</v>
      </c>
      <c r="L51" s="9">
        <f>Test!B361</f>
        <v>3855.0720000000001</v>
      </c>
      <c r="M51" s="10">
        <f>Test!C361</f>
        <v>40.389200000000002</v>
      </c>
      <c r="N51" s="10">
        <f>Test!D361</f>
        <v>43.496499999999997</v>
      </c>
      <c r="O51" s="10">
        <f>Test!E361</f>
        <v>44.971299999999999</v>
      </c>
      <c r="P51" s="10">
        <f>Test!F361</f>
        <v>19735.047290999999</v>
      </c>
      <c r="Q51" s="10">
        <f>Test!G361</f>
        <v>17.4832060337</v>
      </c>
      <c r="R51" s="11">
        <f t="shared" si="1"/>
        <v>5.481957580833333</v>
      </c>
      <c r="S51" s="13">
        <f t="shared" si="2"/>
        <v>0.96157662399187005</v>
      </c>
      <c r="T51" s="13">
        <f t="shared" si="3"/>
        <v>0.88756091823892025</v>
      </c>
      <c r="U51" s="48"/>
      <c r="V51" s="30">
        <f>bdrate($D51:$D54,E51:E54,$L51:$L54,M51:M54)</f>
        <v>-1.6198062627870158E-6</v>
      </c>
      <c r="W51" s="35">
        <f>bdrate($D51:$D54,F51:F54,$L51:$L54,N51:N54)</f>
        <v>-1.4226968257924355E-6</v>
      </c>
      <c r="X51" s="35">
        <f>bdrate($D51:$D54,G51:G54,$L51:$L54,O51:O54)</f>
        <v>-1.3904639502015925E-6</v>
      </c>
      <c r="Y51" s="33">
        <f>bdrateOld($D51:$D54,E51:E54,$L51:$L54,M51:M54)</f>
        <v>-1.6204902325567261E-6</v>
      </c>
      <c r="Z51" s="37">
        <f>bdrateOld($D51:$D54,F51:F54,$L51:$L54,N51:N54)</f>
        <v>-1.441602240581652E-6</v>
      </c>
      <c r="AA51" s="38">
        <f>bdrateOld($D51:$D54,G51:G54,$L51:$L54,O51:O54)</f>
        <v>-1.4196397796206739E-6</v>
      </c>
    </row>
    <row r="52" spans="1:27" x14ac:dyDescent="0.2">
      <c r="A52" s="25"/>
      <c r="B52" s="25"/>
      <c r="C52" s="25">
        <v>27</v>
      </c>
      <c r="D52" s="12">
        <f>Reference!B362</f>
        <v>1663.1479999999999</v>
      </c>
      <c r="E52" s="13">
        <f>Reference!C362</f>
        <v>37.457000000000001</v>
      </c>
      <c r="F52" s="13">
        <f>Reference!D362</f>
        <v>41.3825</v>
      </c>
      <c r="G52" s="13">
        <f>Reference!E362</f>
        <v>42.547899999999998</v>
      </c>
      <c r="H52" s="13">
        <f>Reference!F362</f>
        <v>13682.323936000001</v>
      </c>
      <c r="I52" s="13">
        <f>Reference!G362</f>
        <v>14.184134006500001</v>
      </c>
      <c r="J52" s="14">
        <f t="shared" si="0"/>
        <v>3.8006455377777781</v>
      </c>
      <c r="L52" s="12">
        <f>Test!B362</f>
        <v>1663.1464000000001</v>
      </c>
      <c r="M52" s="13">
        <f>Test!C362</f>
        <v>37.457000000000001</v>
      </c>
      <c r="N52" s="13">
        <f>Test!D362</f>
        <v>41.3825</v>
      </c>
      <c r="O52" s="13">
        <f>Test!E362</f>
        <v>42.547899999999998</v>
      </c>
      <c r="P52" s="13">
        <f>Test!F362</f>
        <v>13501.091764000001</v>
      </c>
      <c r="Q52" s="13">
        <f>Test!G362</f>
        <v>13.324666023300001</v>
      </c>
      <c r="R52" s="14">
        <f t="shared" si="1"/>
        <v>3.7503032677777779</v>
      </c>
      <c r="S52" s="13">
        <f t="shared" si="2"/>
        <v>0.98675428437100843</v>
      </c>
      <c r="T52" s="13">
        <f t="shared" si="3"/>
        <v>0.9394063830187912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Reference!B363</f>
        <v>814.76080000000002</v>
      </c>
      <c r="E53" s="13">
        <f>Reference!C363</f>
        <v>34.528599999999997</v>
      </c>
      <c r="F53" s="13">
        <f>Reference!D363</f>
        <v>39.775300000000001</v>
      </c>
      <c r="G53" s="13">
        <f>Reference!E363</f>
        <v>40.740400000000001</v>
      </c>
      <c r="H53" s="13">
        <f>Reference!F363</f>
        <v>9851.7208190000001</v>
      </c>
      <c r="I53" s="13">
        <f>Reference!G363</f>
        <v>10.8913731575</v>
      </c>
      <c r="J53" s="14">
        <f t="shared" si="0"/>
        <v>2.7365891163888891</v>
      </c>
      <c r="L53" s="12">
        <f>Test!B363</f>
        <v>814.75919999999996</v>
      </c>
      <c r="M53" s="13">
        <f>Test!C363</f>
        <v>34.528599999999997</v>
      </c>
      <c r="N53" s="13">
        <f>Test!D363</f>
        <v>39.775300000000001</v>
      </c>
      <c r="O53" s="13">
        <f>Test!E363</f>
        <v>40.740400000000001</v>
      </c>
      <c r="P53" s="13">
        <f>Test!F363</f>
        <v>9806.6712379500004</v>
      </c>
      <c r="Q53" s="13">
        <f>Test!G363</f>
        <v>10.448064088800001</v>
      </c>
      <c r="R53" s="14">
        <f t="shared" si="1"/>
        <v>2.7240753438750001</v>
      </c>
      <c r="S53" s="13">
        <f t="shared" si="2"/>
        <v>0.99542723734485883</v>
      </c>
      <c r="T53" s="13">
        <f t="shared" si="3"/>
        <v>0.95929722889030489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Reference!B364</f>
        <v>414.32159999999999</v>
      </c>
      <c r="E54" s="17">
        <f>Reference!C364</f>
        <v>31.674199999999999</v>
      </c>
      <c r="F54" s="17">
        <f>Reference!D364</f>
        <v>38.520099999999999</v>
      </c>
      <c r="G54" s="17">
        <f>Reference!E364</f>
        <v>39.4176</v>
      </c>
      <c r="H54" s="17">
        <f>Reference!F364</f>
        <v>7561.8136739700003</v>
      </c>
      <c r="I54" s="17">
        <f>Reference!G364</f>
        <v>8.9902880191799994</v>
      </c>
      <c r="J54" s="18">
        <f t="shared" si="0"/>
        <v>2.1005037983250001</v>
      </c>
      <c r="L54" s="16">
        <f>Test!B364</f>
        <v>414.32</v>
      </c>
      <c r="M54" s="17">
        <f>Test!C364</f>
        <v>31.674199999999999</v>
      </c>
      <c r="N54" s="17">
        <f>Test!D364</f>
        <v>38.520099999999999</v>
      </c>
      <c r="O54" s="17">
        <f>Test!E364</f>
        <v>39.4176</v>
      </c>
      <c r="P54" s="17">
        <f>Test!F364</f>
        <v>7396.6433119800004</v>
      </c>
      <c r="Q54" s="17">
        <f>Test!G364</f>
        <v>7.7962310314199996</v>
      </c>
      <c r="R54" s="18">
        <f t="shared" si="1"/>
        <v>2.0546231422166668</v>
      </c>
      <c r="S54" s="13">
        <f t="shared" si="2"/>
        <v>0.97815730866808248</v>
      </c>
      <c r="T54" s="13">
        <f t="shared" si="3"/>
        <v>0.8671836780743194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98</v>
      </c>
      <c r="C55" s="24">
        <v>22</v>
      </c>
      <c r="D55" s="9">
        <f>Reference!B365</f>
        <v>7666.3552</v>
      </c>
      <c r="E55" s="10">
        <f>Reference!C365</f>
        <v>38.4983</v>
      </c>
      <c r="F55" s="10">
        <f>Reference!D365</f>
        <v>41.430199999999999</v>
      </c>
      <c r="G55" s="10">
        <f>Reference!E365</f>
        <v>42.377899999999997</v>
      </c>
      <c r="H55" s="10">
        <f>Reference!F365</f>
        <v>23900.472974100001</v>
      </c>
      <c r="I55" s="10">
        <f>Reference!G365</f>
        <v>23.9488039017</v>
      </c>
      <c r="J55" s="11">
        <f t="shared" si="0"/>
        <v>6.6390202705833339</v>
      </c>
      <c r="L55" s="9">
        <f>Test!B365</f>
        <v>7666.3536000000004</v>
      </c>
      <c r="M55" s="10">
        <f>Test!C365</f>
        <v>38.4983</v>
      </c>
      <c r="N55" s="10">
        <f>Test!D365</f>
        <v>41.430199999999999</v>
      </c>
      <c r="O55" s="10">
        <f>Test!E365</f>
        <v>42.377899999999997</v>
      </c>
      <c r="P55" s="10">
        <f>Test!F365</f>
        <v>23358.061170100002</v>
      </c>
      <c r="Q55" s="10">
        <f>Test!G365</f>
        <v>22.4242558479</v>
      </c>
      <c r="R55" s="11">
        <f t="shared" si="1"/>
        <v>6.4883503250277785</v>
      </c>
      <c r="S55" s="13">
        <f t="shared" si="2"/>
        <v>0.97730539455902021</v>
      </c>
      <c r="T55" s="13">
        <f t="shared" si="3"/>
        <v>0.93634136969605486</v>
      </c>
      <c r="U55" s="48"/>
      <c r="V55" s="30">
        <f>bdrate($D55:$D58,E55:E58,$L55:$L58,M55:M58)</f>
        <v>-9.5289598112113794E-7</v>
      </c>
      <c r="W55" s="35">
        <f>bdrate($D55:$D58,F55:F58,$L55:$L58,N55:N58)</f>
        <v>-8.0428020865497274E-7</v>
      </c>
      <c r="X55" s="35">
        <f>bdrate($D55:$D58,G55:G58,$L55:$L58,O55:O58)</f>
        <v>-7.946554165805253E-7</v>
      </c>
      <c r="Y55" s="33">
        <f>bdrateOld($D55:$D58,E55:E58,$L55:$L58,M55:M58)</f>
        <v>-9.593944870767146E-7</v>
      </c>
      <c r="Z55" s="37">
        <f>bdrateOld($D55:$D58,F55:F58,$L55:$L58,N55:N58)</f>
        <v>-8.5608542932380516E-7</v>
      </c>
      <c r="AA55" s="38">
        <f>bdrateOld($D55:$D58,G55:G58,$L55:$L58,O55:O58)</f>
        <v>-8.5183708087299692E-7</v>
      </c>
    </row>
    <row r="56" spans="1:27" x14ac:dyDescent="0.2">
      <c r="A56" s="25"/>
      <c r="B56" s="25"/>
      <c r="C56" s="25">
        <v>27</v>
      </c>
      <c r="D56" s="12">
        <f>Reference!B366</f>
        <v>3067.1080000000002</v>
      </c>
      <c r="E56" s="13">
        <f>Reference!C366</f>
        <v>34.557499999999997</v>
      </c>
      <c r="F56" s="13">
        <f>Reference!D366</f>
        <v>38.606299999999997</v>
      </c>
      <c r="G56" s="13">
        <f>Reference!E366</f>
        <v>39.436500000000002</v>
      </c>
      <c r="H56" s="13">
        <f>Reference!F366</f>
        <v>15258.004873</v>
      </c>
      <c r="I56" s="13">
        <f>Reference!G366</f>
        <v>16.4303061962</v>
      </c>
      <c r="J56" s="14">
        <f t="shared" si="0"/>
        <v>4.2383346869444445</v>
      </c>
      <c r="L56" s="12">
        <f>Test!B366</f>
        <v>3067.1064000000001</v>
      </c>
      <c r="M56" s="13">
        <f>Test!C366</f>
        <v>34.557499999999997</v>
      </c>
      <c r="N56" s="13">
        <f>Test!D366</f>
        <v>38.606299999999997</v>
      </c>
      <c r="O56" s="13">
        <f>Test!E366</f>
        <v>39.436500000000002</v>
      </c>
      <c r="P56" s="13">
        <f>Test!F366</f>
        <v>15012.346858000001</v>
      </c>
      <c r="Q56" s="13">
        <f>Test!G366</f>
        <v>15.580949068100001</v>
      </c>
      <c r="R56" s="14">
        <f t="shared" si="1"/>
        <v>4.170096349444445</v>
      </c>
      <c r="S56" s="13">
        <f t="shared" si="2"/>
        <v>0.98389972889347377</v>
      </c>
      <c r="T56" s="13">
        <f t="shared" si="3"/>
        <v>0.94830545956006351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Reference!B367</f>
        <v>1346.8320000000001</v>
      </c>
      <c r="E57" s="13">
        <f>Reference!C367</f>
        <v>31.171099999999999</v>
      </c>
      <c r="F57" s="13">
        <f>Reference!D367</f>
        <v>36.708199999999998</v>
      </c>
      <c r="G57" s="13">
        <f>Reference!E367</f>
        <v>37.488500000000002</v>
      </c>
      <c r="H57" s="13">
        <f>Reference!F367</f>
        <v>10915.872191</v>
      </c>
      <c r="I57" s="13">
        <f>Reference!G367</f>
        <v>11.983672142</v>
      </c>
      <c r="J57" s="14">
        <f t="shared" si="0"/>
        <v>3.0321867197222225</v>
      </c>
      <c r="L57" s="12">
        <f>Test!B367</f>
        <v>1346.8304000000001</v>
      </c>
      <c r="M57" s="13">
        <f>Test!C367</f>
        <v>31.171099999999999</v>
      </c>
      <c r="N57" s="13">
        <f>Test!D367</f>
        <v>36.708199999999998</v>
      </c>
      <c r="O57" s="13">
        <f>Test!E367</f>
        <v>37.488500000000002</v>
      </c>
      <c r="P57" s="13">
        <f>Test!F367</f>
        <v>10765.9083431</v>
      </c>
      <c r="Q57" s="13">
        <f>Test!G367</f>
        <v>11.421545028700001</v>
      </c>
      <c r="R57" s="14">
        <f t="shared" si="1"/>
        <v>2.9905300953055556</v>
      </c>
      <c r="S57" s="13">
        <f t="shared" si="2"/>
        <v>0.98626185381470077</v>
      </c>
      <c r="T57" s="13">
        <f t="shared" si="3"/>
        <v>0.95309224863304853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Reference!B368</f>
        <v>578.99919999999997</v>
      </c>
      <c r="E58" s="17">
        <f>Reference!C368</f>
        <v>27.992799999999999</v>
      </c>
      <c r="F58" s="17">
        <f>Reference!D368</f>
        <v>35.369500000000002</v>
      </c>
      <c r="G58" s="17">
        <f>Reference!E368</f>
        <v>36.144100000000002</v>
      </c>
      <c r="H58" s="17">
        <f>Reference!F368</f>
        <v>7913.29488993</v>
      </c>
      <c r="I58" s="17">
        <f>Reference!G368</f>
        <v>9.3198599815400005</v>
      </c>
      <c r="J58" s="18">
        <f t="shared" si="0"/>
        <v>2.1981374694249998</v>
      </c>
      <c r="L58" s="16">
        <f>Test!B368</f>
        <v>578.99760000000003</v>
      </c>
      <c r="M58" s="17">
        <f>Test!C368</f>
        <v>27.992799999999999</v>
      </c>
      <c r="N58" s="17">
        <f>Test!D368</f>
        <v>35.369500000000002</v>
      </c>
      <c r="O58" s="17">
        <f>Test!E368</f>
        <v>36.144100000000002</v>
      </c>
      <c r="P58" s="17">
        <f>Test!F368</f>
        <v>7783.7357430499997</v>
      </c>
      <c r="Q58" s="17">
        <f>Test!G368</f>
        <v>8.2159759998300004</v>
      </c>
      <c r="R58" s="18">
        <f t="shared" si="1"/>
        <v>2.1621488175138888</v>
      </c>
      <c r="S58" s="13">
        <f t="shared" si="2"/>
        <v>0.98362766095765375</v>
      </c>
      <c r="T58" s="13">
        <f t="shared" si="3"/>
        <v>0.88155573325173542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77</v>
      </c>
      <c r="C59" s="24">
        <v>22</v>
      </c>
      <c r="D59" s="9">
        <f>Reference!B369</f>
        <v>5465.6743999999999</v>
      </c>
      <c r="E59" s="10">
        <f>Reference!C369</f>
        <v>40.137700000000002</v>
      </c>
      <c r="F59" s="10">
        <f>Reference!D369</f>
        <v>41.650100000000002</v>
      </c>
      <c r="G59" s="10">
        <f>Reference!E369</f>
        <v>42.9895</v>
      </c>
      <c r="H59" s="10">
        <f>Reference!F369</f>
        <v>21177.172924999999</v>
      </c>
      <c r="I59" s="10">
        <f>Reference!G369</f>
        <v>14.775510072699999</v>
      </c>
      <c r="J59" s="11">
        <f t="shared" ref="J59:J90" si="4">H59/3600</f>
        <v>5.8825480347222223</v>
      </c>
      <c r="L59" s="9">
        <f>Test!B369</f>
        <v>5465.6728000000003</v>
      </c>
      <c r="M59" s="10">
        <f>Test!C369</f>
        <v>40.137700000000002</v>
      </c>
      <c r="N59" s="10">
        <f>Test!D369</f>
        <v>41.650100000000002</v>
      </c>
      <c r="O59" s="10">
        <f>Test!E369</f>
        <v>42.9895</v>
      </c>
      <c r="P59" s="10">
        <f>Test!F369</f>
        <v>20740.142888999999</v>
      </c>
      <c r="Q59" s="10">
        <f>Test!G369</f>
        <v>13.415332078900001</v>
      </c>
      <c r="R59" s="11">
        <f t="shared" ref="R59:R90" si="5">P59/3600</f>
        <v>5.7611508024999996</v>
      </c>
      <c r="S59" s="13">
        <f t="shared" ref="S59:S90" si="6">P59/H59</f>
        <v>0.97936315496181836</v>
      </c>
      <c r="T59" s="13">
        <f t="shared" ref="T59:T90" si="7">Q59/I59</f>
        <v>0.90794375374470937</v>
      </c>
      <c r="U59" s="48"/>
      <c r="V59" s="30">
        <f>bdrate($D59:$D62,E59:E62,$L59:$L62,M59:M62)</f>
        <v>-1.3346641404288206E-6</v>
      </c>
      <c r="W59" s="35">
        <f>bdrate($D59:$D62,F59:F62,$L59:$L62,N59:N62)</f>
        <v>-1.1528005168237598E-6</v>
      </c>
      <c r="X59" s="35">
        <f>bdrate($D59:$D62,G59:G62,$L59:$L62,O59:O62)</f>
        <v>-1.192732582699918E-6</v>
      </c>
      <c r="Y59" s="33">
        <f>bdrateOld($D59:$D62,E59:E62,$L59:$L62,M59:M62)</f>
        <v>-1.3479883279599036E-6</v>
      </c>
      <c r="Z59" s="37">
        <f>bdrateOld($D59:$D62,F59:F62,$L59:$L62,N59:N62)</f>
        <v>-1.2248776384282678E-6</v>
      </c>
      <c r="AA59" s="38">
        <f>bdrateOld($D59:$D62,G59:G62,$L59:$L62,O59:O62)</f>
        <v>-1.2423825316298931E-6</v>
      </c>
    </row>
    <row r="60" spans="1:27" x14ac:dyDescent="0.2">
      <c r="A60" s="25"/>
      <c r="B60" s="25"/>
      <c r="C60" s="25">
        <v>27</v>
      </c>
      <c r="D60" s="12">
        <f>Reference!B370</f>
        <v>2045.3335999999999</v>
      </c>
      <c r="E60" s="13">
        <f>Reference!C370</f>
        <v>36.283700000000003</v>
      </c>
      <c r="F60" s="13">
        <f>Reference!D370</f>
        <v>38.9818</v>
      </c>
      <c r="G60" s="13">
        <f>Reference!E370</f>
        <v>40.591900000000003</v>
      </c>
      <c r="H60" s="13">
        <f>Reference!F370</f>
        <v>13154.118481899999</v>
      </c>
      <c r="I60" s="13">
        <f>Reference!G370</f>
        <v>10.6517431736</v>
      </c>
      <c r="J60" s="14">
        <f t="shared" si="4"/>
        <v>3.6539218005277774</v>
      </c>
      <c r="L60" s="12">
        <f>Test!B370</f>
        <v>2045.3320000000001</v>
      </c>
      <c r="M60" s="13">
        <f>Test!C370</f>
        <v>36.283700000000003</v>
      </c>
      <c r="N60" s="13">
        <f>Test!D370</f>
        <v>38.9818</v>
      </c>
      <c r="O60" s="13">
        <f>Test!E370</f>
        <v>40.591900000000003</v>
      </c>
      <c r="P60" s="13">
        <f>Test!F370</f>
        <v>13029.9189811</v>
      </c>
      <c r="Q60" s="13">
        <f>Test!G370</f>
        <v>9.9853060245500007</v>
      </c>
      <c r="R60" s="14">
        <f t="shared" si="5"/>
        <v>3.6194219391944444</v>
      </c>
      <c r="S60" s="13">
        <f t="shared" si="6"/>
        <v>0.99055812816564659</v>
      </c>
      <c r="T60" s="13">
        <f t="shared" si="7"/>
        <v>0.93743398257087707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Reference!B371</f>
        <v>915.98159999999996</v>
      </c>
      <c r="E61" s="13">
        <f>Reference!C371</f>
        <v>33.253599999999999</v>
      </c>
      <c r="F61" s="13">
        <f>Reference!D371</f>
        <v>37.248399999999997</v>
      </c>
      <c r="G61" s="13">
        <f>Reference!E371</f>
        <v>39.050400000000003</v>
      </c>
      <c r="H61" s="13">
        <f>Reference!F371</f>
        <v>9933.9224779600008</v>
      </c>
      <c r="I61" s="13">
        <f>Reference!G371</f>
        <v>8.2753820419299995</v>
      </c>
      <c r="J61" s="14">
        <f t="shared" si="4"/>
        <v>2.7594229105444446</v>
      </c>
      <c r="L61" s="12">
        <f>Test!B371</f>
        <v>915.98</v>
      </c>
      <c r="M61" s="13">
        <f>Test!C371</f>
        <v>33.253599999999999</v>
      </c>
      <c r="N61" s="13">
        <f>Test!D371</f>
        <v>37.248399999999997</v>
      </c>
      <c r="O61" s="13">
        <f>Test!E371</f>
        <v>39.050400000000003</v>
      </c>
      <c r="P61" s="13">
        <f>Test!F371</f>
        <v>9799.3564219500004</v>
      </c>
      <c r="Q61" s="13">
        <f>Test!G371</f>
        <v>7.7885870933500003</v>
      </c>
      <c r="R61" s="14">
        <f t="shared" si="5"/>
        <v>2.7220434505416669</v>
      </c>
      <c r="S61" s="13">
        <f t="shared" si="6"/>
        <v>0.98645388502793763</v>
      </c>
      <c r="T61" s="13">
        <f t="shared" si="7"/>
        <v>0.94117553170192148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Reference!B372</f>
        <v>418.78800000000001</v>
      </c>
      <c r="E62" s="17">
        <f>Reference!C372</f>
        <v>30.465</v>
      </c>
      <c r="F62" s="17">
        <f>Reference!D372</f>
        <v>36.029299999999999</v>
      </c>
      <c r="G62" s="17">
        <f>Reference!E372</f>
        <v>37.828699999999998</v>
      </c>
      <c r="H62" s="17">
        <f>Reference!F372</f>
        <v>6752.8063790799997</v>
      </c>
      <c r="I62" s="17">
        <f>Reference!G372</f>
        <v>6.4647459983799997</v>
      </c>
      <c r="J62" s="18">
        <f t="shared" si="4"/>
        <v>1.8757795497444443</v>
      </c>
      <c r="L62" s="16">
        <f>Test!B372</f>
        <v>418.78640000000001</v>
      </c>
      <c r="M62" s="17">
        <f>Test!C372</f>
        <v>30.465</v>
      </c>
      <c r="N62" s="17">
        <f>Test!D372</f>
        <v>36.029299999999999</v>
      </c>
      <c r="O62" s="17">
        <f>Test!E372</f>
        <v>37.828699999999998</v>
      </c>
      <c r="P62" s="17">
        <f>Test!F372</f>
        <v>6729.3577139400004</v>
      </c>
      <c r="Q62" s="17">
        <f>Test!G372</f>
        <v>6.2153689861299997</v>
      </c>
      <c r="R62" s="18">
        <f t="shared" si="5"/>
        <v>1.86926603165</v>
      </c>
      <c r="S62" s="17">
        <f t="shared" si="6"/>
        <v>0.9965275673810754</v>
      </c>
      <c r="T62" s="17">
        <f t="shared" si="7"/>
        <v>0.96142508734101984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17</v>
      </c>
      <c r="B63" s="24" t="s">
        <v>74</v>
      </c>
      <c r="C63" s="24">
        <f>C59</f>
        <v>22</v>
      </c>
      <c r="D63" s="9">
        <v>962.72940000000006</v>
      </c>
      <c r="E63" s="10">
        <v>42.071399999999997</v>
      </c>
      <c r="F63" s="10">
        <v>44.823</v>
      </c>
      <c r="G63" s="10">
        <v>44.985199999999999</v>
      </c>
      <c r="H63" s="10">
        <v>140.77099999999999</v>
      </c>
      <c r="I63" s="10">
        <v>0.16900000000000001</v>
      </c>
      <c r="J63" s="11">
        <f t="shared" si="4"/>
        <v>3.9103055555555551E-2</v>
      </c>
      <c r="L63" s="9">
        <v>964.07060000000001</v>
      </c>
      <c r="M63" s="10">
        <v>42.082299999999996</v>
      </c>
      <c r="N63" s="10">
        <v>44.823</v>
      </c>
      <c r="O63" s="10">
        <v>44.985199999999999</v>
      </c>
      <c r="P63" s="10">
        <v>135.489</v>
      </c>
      <c r="Q63" s="10">
        <v>0.16</v>
      </c>
      <c r="R63" s="11">
        <f t="shared" si="5"/>
        <v>3.7635833333333334E-2</v>
      </c>
      <c r="S63" s="10">
        <f t="shared" si="6"/>
        <v>0.96247806721554874</v>
      </c>
      <c r="T63" s="10">
        <f t="shared" si="7"/>
        <v>0.94674556213017746</v>
      </c>
      <c r="U63" s="47"/>
      <c r="V63" s="30">
        <f>bdrate($D63:$D66,E63:E66,$L63:$L66,M63:M66)</f>
        <v>6.4601650923457044E-4</v>
      </c>
      <c r="W63" s="35">
        <f>bdrate($D63:$D66,F63:F66,$L63:$L66,N63:N66)</f>
        <v>5.0821634869344656E-3</v>
      </c>
      <c r="X63" s="36">
        <f>bdrate($D63:$D66,G63:G66,$L63:$L66,O63:O66)</f>
        <v>-4.259979289341298E-3</v>
      </c>
      <c r="Y63" s="30">
        <f>bdrateOld($D63:$D66,E63:E66,$L63:$L66,M63:M66)</f>
        <v>7.2351656180336121E-4</v>
      </c>
      <c r="Z63" s="35">
        <f>bdrateOld($D63:$D66,F63:F66,$L63:$L66,N63:N66)</f>
        <v>3.9881346210430824E-3</v>
      </c>
      <c r="AA63" s="36">
        <f>bdrateOld($D63:$D66,G63:G66,$L63:$L66,O63:O66)</f>
        <v>-3.8316635678389277E-3</v>
      </c>
    </row>
    <row r="64" spans="1:27" x14ac:dyDescent="0.2">
      <c r="A64" s="25" t="s">
        <v>99</v>
      </c>
      <c r="B64" s="25"/>
      <c r="C64" s="25">
        <f>C60</f>
        <v>27</v>
      </c>
      <c r="D64" s="12">
        <v>494.75290000000001</v>
      </c>
      <c r="E64" s="13">
        <v>38.303100000000001</v>
      </c>
      <c r="F64" s="13">
        <v>42.344299999999997</v>
      </c>
      <c r="G64" s="13">
        <v>42.039400000000001</v>
      </c>
      <c r="H64" s="13">
        <v>118.444</v>
      </c>
      <c r="I64" s="13">
        <v>0.13900000000000001</v>
      </c>
      <c r="J64" s="14">
        <f t="shared" si="4"/>
        <v>3.290111111111111E-2</v>
      </c>
      <c r="L64" s="12">
        <v>495.17649999999998</v>
      </c>
      <c r="M64" s="13">
        <v>38.309199999999997</v>
      </c>
      <c r="N64" s="13">
        <v>42.366999999999997</v>
      </c>
      <c r="O64" s="13">
        <v>42.086199999999998</v>
      </c>
      <c r="P64" s="13">
        <v>112.18899999999999</v>
      </c>
      <c r="Q64" s="13">
        <v>0.125</v>
      </c>
      <c r="R64" s="14">
        <f t="shared" si="5"/>
        <v>3.1163611111111111E-2</v>
      </c>
      <c r="S64" s="13">
        <f t="shared" si="6"/>
        <v>0.94719023335922459</v>
      </c>
      <c r="T64" s="13">
        <f t="shared" si="7"/>
        <v>0.89928057553956831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v>259.85879999999997</v>
      </c>
      <c r="E65" s="13">
        <v>34.986400000000003</v>
      </c>
      <c r="F65" s="13">
        <v>40.343699999999998</v>
      </c>
      <c r="G65" s="13">
        <v>39.943899999999999</v>
      </c>
      <c r="H65" s="13">
        <v>87.998999999999995</v>
      </c>
      <c r="I65" s="13">
        <v>0.11600000000000001</v>
      </c>
      <c r="J65" s="14">
        <f t="shared" si="4"/>
        <v>2.4444166666666666E-2</v>
      </c>
      <c r="L65" s="12">
        <v>260.8</v>
      </c>
      <c r="M65" s="13">
        <v>35.0017</v>
      </c>
      <c r="N65" s="13">
        <v>40.2988</v>
      </c>
      <c r="O65" s="13">
        <v>39.962000000000003</v>
      </c>
      <c r="P65" s="13">
        <v>84.409000000000006</v>
      </c>
      <c r="Q65" s="13">
        <v>0.111</v>
      </c>
      <c r="R65" s="14">
        <f t="shared" si="5"/>
        <v>2.3446944444444447E-2</v>
      </c>
      <c r="S65" s="13">
        <f t="shared" si="6"/>
        <v>0.95920408186456674</v>
      </c>
      <c r="T65" s="13">
        <f t="shared" si="7"/>
        <v>0.9568965517241379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v>136.35290000000001</v>
      </c>
      <c r="E66" s="17">
        <v>32.1892</v>
      </c>
      <c r="F66" s="17">
        <v>38.729500000000002</v>
      </c>
      <c r="G66" s="17">
        <v>38.392899999999997</v>
      </c>
      <c r="H66" s="17">
        <v>61.777999999999999</v>
      </c>
      <c r="I66" s="17">
        <v>9.7000000000000003E-2</v>
      </c>
      <c r="J66" s="18">
        <f t="shared" si="4"/>
        <v>1.7160555555555554E-2</v>
      </c>
      <c r="L66" s="16">
        <v>137.48240000000001</v>
      </c>
      <c r="M66" s="17">
        <v>32.1952</v>
      </c>
      <c r="N66" s="17">
        <v>38.715800000000002</v>
      </c>
      <c r="O66" s="17">
        <v>38.364699999999999</v>
      </c>
      <c r="P66" s="17">
        <v>63.091000000000001</v>
      </c>
      <c r="Q66" s="17">
        <v>8.6999999999999994E-2</v>
      </c>
      <c r="R66" s="18">
        <f t="shared" si="5"/>
        <v>1.7525277777777779E-2</v>
      </c>
      <c r="S66" s="13">
        <f t="shared" si="6"/>
        <v>1.0212535206707889</v>
      </c>
      <c r="T66" s="13">
        <f t="shared" si="7"/>
        <v>0.89690721649484528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75</v>
      </c>
      <c r="C67" s="24">
        <v>22</v>
      </c>
      <c r="D67" s="9">
        <v>2446.5882000000001</v>
      </c>
      <c r="E67" s="10">
        <v>39.289900000000003</v>
      </c>
      <c r="F67" s="10">
        <v>43.691499999999998</v>
      </c>
      <c r="G67" s="10">
        <v>44.606200000000001</v>
      </c>
      <c r="H67" s="10">
        <v>162.42699999999999</v>
      </c>
      <c r="I67" s="10">
        <v>0.27400000000000002</v>
      </c>
      <c r="J67" s="11">
        <f t="shared" si="4"/>
        <v>4.5118611111111109E-2</v>
      </c>
      <c r="L67" s="9">
        <v>2443.0023999999999</v>
      </c>
      <c r="M67" s="10">
        <v>39.3095</v>
      </c>
      <c r="N67" s="10">
        <v>43.691499999999998</v>
      </c>
      <c r="O67" s="10">
        <v>44.606200000000001</v>
      </c>
      <c r="P67" s="10">
        <v>155.47999999999999</v>
      </c>
      <c r="Q67" s="10">
        <v>0.26100000000000001</v>
      </c>
      <c r="R67" s="11">
        <f t="shared" si="5"/>
        <v>4.3188888888888888E-2</v>
      </c>
      <c r="S67" s="13">
        <f t="shared" si="6"/>
        <v>0.95723001717694711</v>
      </c>
      <c r="T67" s="13">
        <f t="shared" si="7"/>
        <v>0.95255474452554745</v>
      </c>
      <c r="U67" s="48"/>
      <c r="V67" s="30">
        <f>bdrate($D67:$D70,E67:E70,$L67:$L70,M67:M70)</f>
        <v>-9.2959957603692134E-3</v>
      </c>
      <c r="W67" s="35">
        <f>bdrate($D67:$D70,F67:F70,$L67:$L70,N67:N70)</f>
        <v>3.1455751444509072E-3</v>
      </c>
      <c r="X67" s="35">
        <f>bdrate($D67:$D70,G67:G70,$L67:$L70,O67:O70)</f>
        <v>-6.2490971539952422E-4</v>
      </c>
      <c r="Y67" s="33">
        <f>bdrateOld($D67:$D70,E67:E70,$L67:$L70,M67:M70)</f>
        <v>-9.9431094179803781E-3</v>
      </c>
      <c r="Z67" s="37">
        <f>bdrateOld($D67:$D70,F67:F70,$L67:$L70,N67:N70)</f>
        <v>1.5698813728759475E-5</v>
      </c>
      <c r="AA67" s="38">
        <f>bdrateOld($D67:$D70,G67:G70,$L67:$L70,O67:O70)</f>
        <v>-1.3718758344370974E-3</v>
      </c>
    </row>
    <row r="68" spans="1:27" x14ac:dyDescent="0.2">
      <c r="A68" s="25"/>
      <c r="B68" s="25"/>
      <c r="C68" s="25">
        <v>27</v>
      </c>
      <c r="D68" s="12">
        <v>1124.0471</v>
      </c>
      <c r="E68" s="13">
        <v>35.308700000000002</v>
      </c>
      <c r="F68" s="13">
        <v>41.484400000000001</v>
      </c>
      <c r="G68" s="13">
        <v>42.290399999999998</v>
      </c>
      <c r="H68" s="13">
        <v>105.79300000000001</v>
      </c>
      <c r="I68" s="13">
        <v>0.188</v>
      </c>
      <c r="J68" s="14">
        <f t="shared" si="4"/>
        <v>2.9386944444444445E-2</v>
      </c>
      <c r="L68" s="12">
        <v>1120.6587999999999</v>
      </c>
      <c r="M68" s="13">
        <v>35.349200000000003</v>
      </c>
      <c r="N68" s="13">
        <v>41.486400000000003</v>
      </c>
      <c r="O68" s="13">
        <v>42.289900000000003</v>
      </c>
      <c r="P68" s="13">
        <v>100.71299999999999</v>
      </c>
      <c r="Q68" s="13">
        <v>0.18</v>
      </c>
      <c r="R68" s="14">
        <f t="shared" si="5"/>
        <v>2.7975833333333332E-2</v>
      </c>
      <c r="S68" s="13">
        <f t="shared" si="6"/>
        <v>0.95198170011248373</v>
      </c>
      <c r="T68" s="13">
        <f t="shared" si="7"/>
        <v>0.95744680851063824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v>563.35059999999999</v>
      </c>
      <c r="E69" s="13">
        <v>32.115400000000001</v>
      </c>
      <c r="F69" s="13">
        <v>39.835900000000002</v>
      </c>
      <c r="G69" s="13">
        <v>40.712000000000003</v>
      </c>
      <c r="H69" s="13">
        <v>74.004999999999995</v>
      </c>
      <c r="I69" s="13">
        <v>0.14299999999999999</v>
      </c>
      <c r="J69" s="14">
        <f t="shared" si="4"/>
        <v>2.0556944444444444E-2</v>
      </c>
      <c r="L69" s="12">
        <v>569.30820000000006</v>
      </c>
      <c r="M69" s="13">
        <v>32.182699999999997</v>
      </c>
      <c r="N69" s="13">
        <v>39.815800000000003</v>
      </c>
      <c r="O69" s="13">
        <v>40.725999999999999</v>
      </c>
      <c r="P69" s="13">
        <v>69.677999999999997</v>
      </c>
      <c r="Q69" s="13">
        <v>0.13400000000000001</v>
      </c>
      <c r="R69" s="14">
        <f t="shared" si="5"/>
        <v>1.9355000000000001E-2</v>
      </c>
      <c r="S69" s="13">
        <f t="shared" si="6"/>
        <v>0.94153097763664617</v>
      </c>
      <c r="T69" s="13">
        <f t="shared" si="7"/>
        <v>0.9370629370629372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v>300.59289999999999</v>
      </c>
      <c r="E70" s="17">
        <v>29.178799999999999</v>
      </c>
      <c r="F70" s="17">
        <v>38.887900000000002</v>
      </c>
      <c r="G70" s="17">
        <v>39.3461</v>
      </c>
      <c r="H70" s="17">
        <v>61.088000000000001</v>
      </c>
      <c r="I70" s="17">
        <v>0.129</v>
      </c>
      <c r="J70" s="18">
        <f t="shared" si="4"/>
        <v>1.6968888888888888E-2</v>
      </c>
      <c r="L70" s="16">
        <v>300.19760000000002</v>
      </c>
      <c r="M70" s="17">
        <v>29.2807</v>
      </c>
      <c r="N70" s="17">
        <v>38.889099999999999</v>
      </c>
      <c r="O70" s="17">
        <v>39.348700000000001</v>
      </c>
      <c r="P70" s="17">
        <v>59.131999999999998</v>
      </c>
      <c r="Q70" s="17">
        <v>0.11</v>
      </c>
      <c r="R70" s="18">
        <f t="shared" si="5"/>
        <v>1.6425555555555554E-2</v>
      </c>
      <c r="S70" s="13">
        <f t="shared" si="6"/>
        <v>0.96798061812467251</v>
      </c>
      <c r="T70" s="13">
        <f t="shared" si="7"/>
        <v>0.8527131782945736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76</v>
      </c>
      <c r="C71" s="24">
        <v>22</v>
      </c>
      <c r="D71" s="9">
        <v>2046.6117999999999</v>
      </c>
      <c r="E71" s="10">
        <v>38.914400000000001</v>
      </c>
      <c r="F71" s="10">
        <v>41.400500000000001</v>
      </c>
      <c r="G71" s="10">
        <v>43.282800000000002</v>
      </c>
      <c r="H71" s="10">
        <v>255.59399999999999</v>
      </c>
      <c r="I71" s="10">
        <v>0.27700000000000002</v>
      </c>
      <c r="J71" s="11">
        <f t="shared" si="4"/>
        <v>7.099833333333333E-2</v>
      </c>
      <c r="L71" s="9">
        <v>2045.3176000000001</v>
      </c>
      <c r="M71" s="10">
        <v>38.9191</v>
      </c>
      <c r="N71" s="10">
        <v>41.3675</v>
      </c>
      <c r="O71" s="10">
        <v>43.316699999999997</v>
      </c>
      <c r="P71" s="10">
        <v>244.17500000000001</v>
      </c>
      <c r="Q71" s="10">
        <v>0.26600000000000001</v>
      </c>
      <c r="R71" s="11">
        <f t="shared" si="5"/>
        <v>6.7826388888888894E-2</v>
      </c>
      <c r="S71" s="13">
        <f t="shared" si="6"/>
        <v>0.9553236773946181</v>
      </c>
      <c r="T71" s="13">
        <f t="shared" si="7"/>
        <v>0.96028880866425992</v>
      </c>
      <c r="U71" s="48"/>
      <c r="V71" s="30">
        <f>bdrate($D71:$D74,E71:E74,$L71:$L74,M71:M74)</f>
        <v>-1.6212535856507948E-4</v>
      </c>
      <c r="W71" s="35">
        <f>bdrate($D71:$D74,F71:F74,$L71:$L74,N71:N74)</f>
        <v>2.77173101267425E-3</v>
      </c>
      <c r="X71" s="35">
        <f>bdrate($D71:$D74,G71:G74,$L71:$L74,O71:O74)</f>
        <v>-7.3247101906476209E-3</v>
      </c>
      <c r="Y71" s="33">
        <f>bdrateOld($D71:$D74,E71:E74,$L71:$L74,M71:M74)</f>
        <v>-7.60783184861058E-5</v>
      </c>
      <c r="Z71" s="37">
        <f>bdrateOld($D71:$D74,F71:F74,$L71:$L74,N71:N74)</f>
        <v>3.0301171482891576E-3</v>
      </c>
      <c r="AA71" s="38">
        <f>bdrateOld($D71:$D74,G71:G74,$L71:$L74,O71:O74)</f>
        <v>-7.4261949537958172E-3</v>
      </c>
    </row>
    <row r="72" spans="1:27" x14ac:dyDescent="0.2">
      <c r="A72" s="25"/>
      <c r="B72" s="25"/>
      <c r="C72" s="25">
        <v>27</v>
      </c>
      <c r="D72" s="12">
        <v>909.67060000000004</v>
      </c>
      <c r="E72" s="13">
        <v>35.348700000000001</v>
      </c>
      <c r="F72" s="13">
        <v>38.7637</v>
      </c>
      <c r="G72" s="13">
        <v>40.699599999999997</v>
      </c>
      <c r="H72" s="13">
        <v>175.00899999999999</v>
      </c>
      <c r="I72" s="13">
        <v>0.189</v>
      </c>
      <c r="J72" s="14">
        <f t="shared" si="4"/>
        <v>4.8613611111111107E-2</v>
      </c>
      <c r="L72" s="12">
        <v>910.56470000000002</v>
      </c>
      <c r="M72" s="13">
        <v>35.358699999999999</v>
      </c>
      <c r="N72" s="13">
        <v>38.7637</v>
      </c>
      <c r="O72" s="13">
        <v>40.705199999999998</v>
      </c>
      <c r="P72" s="13">
        <v>173.75399999999999</v>
      </c>
      <c r="Q72" s="13">
        <v>0.18</v>
      </c>
      <c r="R72" s="14">
        <f t="shared" si="5"/>
        <v>4.8264999999999995E-2</v>
      </c>
      <c r="S72" s="13">
        <f t="shared" si="6"/>
        <v>0.99282894022593127</v>
      </c>
      <c r="T72" s="13">
        <f t="shared" si="7"/>
        <v>0.95238095238095233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v>435.55290000000002</v>
      </c>
      <c r="E73" s="13">
        <v>32.314100000000003</v>
      </c>
      <c r="F73" s="13">
        <v>36.927300000000002</v>
      </c>
      <c r="G73" s="13">
        <v>38.761000000000003</v>
      </c>
      <c r="H73" s="13">
        <v>127.55500000000001</v>
      </c>
      <c r="I73" s="13">
        <v>0.14799999999999999</v>
      </c>
      <c r="J73" s="14">
        <f t="shared" si="4"/>
        <v>3.5431944444444446E-2</v>
      </c>
      <c r="L73" s="12">
        <v>436.2353</v>
      </c>
      <c r="M73" s="13">
        <v>32.321300000000001</v>
      </c>
      <c r="N73" s="13">
        <v>36.927300000000002</v>
      </c>
      <c r="O73" s="13">
        <v>38.787999999999997</v>
      </c>
      <c r="P73" s="13">
        <v>122.834</v>
      </c>
      <c r="Q73" s="13">
        <v>0.13900000000000001</v>
      </c>
      <c r="R73" s="14">
        <f t="shared" si="5"/>
        <v>3.4120555555555557E-2</v>
      </c>
      <c r="S73" s="13">
        <f t="shared" si="6"/>
        <v>0.96298851475833946</v>
      </c>
      <c r="T73" s="13">
        <f t="shared" si="7"/>
        <v>0.93918918918918937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v>207.1765</v>
      </c>
      <c r="E74" s="17">
        <v>29.5898</v>
      </c>
      <c r="F74" s="17">
        <v>35.594900000000003</v>
      </c>
      <c r="G74" s="17">
        <v>37.259799999999998</v>
      </c>
      <c r="H74" s="17">
        <v>90.974000000000004</v>
      </c>
      <c r="I74" s="17">
        <v>0.114</v>
      </c>
      <c r="J74" s="18">
        <f t="shared" si="4"/>
        <v>2.5270555555555557E-2</v>
      </c>
      <c r="L74" s="16">
        <v>208.37649999999999</v>
      </c>
      <c r="M74" s="17">
        <v>29.585899999999999</v>
      </c>
      <c r="N74" s="17">
        <v>35.594900000000003</v>
      </c>
      <c r="O74" s="17">
        <v>37.318800000000003</v>
      </c>
      <c r="P74" s="17">
        <v>90.046000000000006</v>
      </c>
      <c r="Q74" s="17">
        <v>0.109</v>
      </c>
      <c r="R74" s="18">
        <f t="shared" si="5"/>
        <v>2.501277777777778E-2</v>
      </c>
      <c r="S74" s="13">
        <f t="shared" si="6"/>
        <v>0.98979928331171552</v>
      </c>
      <c r="T74" s="13">
        <f t="shared" si="7"/>
        <v>0.95614035087719296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77</v>
      </c>
      <c r="C75" s="24">
        <v>22</v>
      </c>
      <c r="D75" s="9">
        <v>1614.1694</v>
      </c>
      <c r="E75" s="10">
        <v>40.143000000000001</v>
      </c>
      <c r="F75" s="10">
        <v>41.783999999999999</v>
      </c>
      <c r="G75" s="10">
        <v>42.142600000000002</v>
      </c>
      <c r="H75" s="10">
        <v>319.74700000000001</v>
      </c>
      <c r="I75" s="10">
        <v>0.33100000000000002</v>
      </c>
      <c r="J75" s="11">
        <f t="shared" si="4"/>
        <v>8.8818611111111112E-2</v>
      </c>
      <c r="L75" s="9">
        <v>1615.4118000000001</v>
      </c>
      <c r="M75" s="10">
        <v>40.138800000000003</v>
      </c>
      <c r="N75" s="10">
        <v>41.743600000000001</v>
      </c>
      <c r="O75" s="10">
        <v>42.177100000000003</v>
      </c>
      <c r="P75" s="10">
        <v>313.35500000000002</v>
      </c>
      <c r="Q75" s="10">
        <v>0.31900000000000001</v>
      </c>
      <c r="R75" s="11">
        <f t="shared" si="5"/>
        <v>8.7043055555555554E-2</v>
      </c>
      <c r="S75" s="13">
        <f t="shared" si="6"/>
        <v>0.98000919476961479</v>
      </c>
      <c r="T75" s="13">
        <f t="shared" si="7"/>
        <v>0.96374622356495465</v>
      </c>
      <c r="U75" s="48"/>
      <c r="V75" s="30">
        <f>bdrate($D75:$D78,E75:E78,$L75:$L78,M75:M78)</f>
        <v>-1.7230498805625993E-3</v>
      </c>
      <c r="W75" s="35">
        <f>bdrate($D75:$D78,F75:F78,$L75:$L78,N75:N78)</f>
        <v>1.233850058531849E-2</v>
      </c>
      <c r="X75" s="35">
        <f>bdrate($D75:$D78,G75:G78,$L75:$L78,O75:O78)</f>
        <v>1.0172266538112318E-2</v>
      </c>
      <c r="Y75" s="33">
        <f>bdrateOld($D75:$D78,E75:E78,$L75:$L78,M75:M78)</f>
        <v>-1.9292255833539551E-3</v>
      </c>
      <c r="Z75" s="37">
        <f>bdrateOld($D75:$D78,F75:F78,$L75:$L78,N75:N78)</f>
        <v>1.1098057087867153E-2</v>
      </c>
      <c r="AA75" s="38">
        <f>bdrateOld($D75:$D78,G75:G78,$L75:$L78,O75:O78)</f>
        <v>9.5263805424377068E-3</v>
      </c>
    </row>
    <row r="76" spans="1:27" x14ac:dyDescent="0.2">
      <c r="A76" s="25"/>
      <c r="B76" s="25"/>
      <c r="C76" s="25">
        <v>27</v>
      </c>
      <c r="D76" s="12">
        <v>811.48239999999998</v>
      </c>
      <c r="E76" s="13">
        <v>35.859000000000002</v>
      </c>
      <c r="F76" s="13">
        <v>38.8643</v>
      </c>
      <c r="G76" s="13">
        <v>39.274700000000003</v>
      </c>
      <c r="H76" s="13">
        <v>238.339</v>
      </c>
      <c r="I76" s="13">
        <v>0.25600000000000001</v>
      </c>
      <c r="J76" s="14">
        <f t="shared" si="4"/>
        <v>6.620527777777778E-2</v>
      </c>
      <c r="L76" s="12">
        <v>812.78120000000001</v>
      </c>
      <c r="M76" s="13">
        <v>35.871200000000002</v>
      </c>
      <c r="N76" s="13">
        <v>38.824800000000003</v>
      </c>
      <c r="O76" s="13">
        <v>39.215000000000003</v>
      </c>
      <c r="P76" s="13">
        <v>233</v>
      </c>
      <c r="Q76" s="13">
        <v>0.248</v>
      </c>
      <c r="R76" s="14">
        <f t="shared" si="5"/>
        <v>6.4722222222222223E-2</v>
      </c>
      <c r="S76" s="13">
        <f t="shared" si="6"/>
        <v>0.97759913400660403</v>
      </c>
      <c r="T76" s="13">
        <f t="shared" si="7"/>
        <v>0.96875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v>420.07060000000001</v>
      </c>
      <c r="E77" s="13">
        <v>32.262700000000002</v>
      </c>
      <c r="F77" s="13">
        <v>37.039299999999997</v>
      </c>
      <c r="G77" s="13">
        <v>37.249499999999998</v>
      </c>
      <c r="H77" s="13">
        <v>177.51499999999999</v>
      </c>
      <c r="I77" s="13">
        <v>0.20399999999999999</v>
      </c>
      <c r="J77" s="14">
        <f t="shared" si="4"/>
        <v>4.930972222222222E-2</v>
      </c>
      <c r="L77" s="12">
        <v>419.90120000000002</v>
      </c>
      <c r="M77" s="13">
        <v>32.2684</v>
      </c>
      <c r="N77" s="13">
        <v>36.997399999999999</v>
      </c>
      <c r="O77" s="13">
        <v>37.209299999999999</v>
      </c>
      <c r="P77" s="13">
        <v>166.97200000000001</v>
      </c>
      <c r="Q77" s="13">
        <v>0.19600000000000001</v>
      </c>
      <c r="R77" s="14">
        <f t="shared" si="5"/>
        <v>4.6381111111111116E-2</v>
      </c>
      <c r="S77" s="13">
        <f t="shared" si="6"/>
        <v>0.94060783595752484</v>
      </c>
      <c r="T77" s="13">
        <f t="shared" si="7"/>
        <v>0.96078431372549034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v>214.8706</v>
      </c>
      <c r="E78" s="17">
        <v>29.320799999999998</v>
      </c>
      <c r="F78" s="17">
        <v>35.581600000000002</v>
      </c>
      <c r="G78" s="17">
        <v>35.596299999999999</v>
      </c>
      <c r="H78" s="17">
        <v>138.82599999999999</v>
      </c>
      <c r="I78" s="17">
        <v>0.161</v>
      </c>
      <c r="J78" s="18">
        <f t="shared" si="4"/>
        <v>3.8562777777777779E-2</v>
      </c>
      <c r="L78" s="16">
        <v>214.5318</v>
      </c>
      <c r="M78" s="17">
        <v>29.364999999999998</v>
      </c>
      <c r="N78" s="17">
        <v>35.579099999999997</v>
      </c>
      <c r="O78" s="17">
        <v>35.631500000000003</v>
      </c>
      <c r="P78" s="17">
        <v>135.672</v>
      </c>
      <c r="Q78" s="17">
        <v>0.153</v>
      </c>
      <c r="R78" s="18">
        <f t="shared" si="5"/>
        <v>3.7686666666666667E-2</v>
      </c>
      <c r="S78" s="17">
        <f t="shared" si="6"/>
        <v>0.97728091279731466</v>
      </c>
      <c r="T78" s="17">
        <f t="shared" si="7"/>
        <v>0.95031055900621109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100</v>
      </c>
      <c r="B79" s="24" t="s">
        <v>78</v>
      </c>
      <c r="C79" s="24">
        <v>22</v>
      </c>
      <c r="D79" s="9">
        <f>Reference!B389</f>
        <v>2164.6</v>
      </c>
      <c r="E79" s="10">
        <f>Reference!C389</f>
        <v>42.883499999999998</v>
      </c>
      <c r="F79" s="10">
        <f>Reference!D389</f>
        <v>46.877299999999998</v>
      </c>
      <c r="G79" s="10">
        <f>Reference!E389</f>
        <v>48.2134</v>
      </c>
      <c r="H79" s="10">
        <f>Reference!F389</f>
        <v>22514.6714311</v>
      </c>
      <c r="I79" s="10">
        <f>Reference!G389</f>
        <v>25.970328807800001</v>
      </c>
      <c r="J79" s="11">
        <f t="shared" si="4"/>
        <v>6.2540753975277781</v>
      </c>
      <c r="L79" s="9">
        <f>Test!B389</f>
        <v>2164.5983999999999</v>
      </c>
      <c r="M79" s="10">
        <f>Test!C389</f>
        <v>42.883499999999998</v>
      </c>
      <c r="N79" s="10">
        <f>Test!D389</f>
        <v>46.877299999999998</v>
      </c>
      <c r="O79" s="10">
        <f>Test!E389</f>
        <v>48.2134</v>
      </c>
      <c r="P79" s="10">
        <f>Test!F389</f>
        <v>21888.1557899</v>
      </c>
      <c r="Q79" s="10">
        <f>Test!G389</f>
        <v>25.4156780243</v>
      </c>
      <c r="R79" s="11">
        <f t="shared" si="5"/>
        <v>6.0800432749722226</v>
      </c>
      <c r="S79" s="10">
        <f t="shared" si="6"/>
        <v>0.97217300536153595</v>
      </c>
      <c r="T79" s="10">
        <f t="shared" si="7"/>
        <v>0.97864290484711092</v>
      </c>
      <c r="U79" s="47"/>
      <c r="V79" s="30">
        <f>bdrate($D79:$D82,E79:E82,$L79:$L82,M79:M82)</f>
        <v>-3.6141860970673179E-6</v>
      </c>
      <c r="W79" s="35">
        <f>bdrate($D79:$D82,F79:F82,$L79:$L82,N79:N82)</f>
        <v>-3.1165168825619816E-6</v>
      </c>
      <c r="X79" s="36">
        <f>bdrate($D79:$D82,G79:G82,$L79:$L82,O79:O82)</f>
        <v>-3.2032047613261838E-6</v>
      </c>
      <c r="Y79" s="30">
        <f>bdrateOld($D79:$D82,E79:E82,$L79:$L82,M79:M82)</f>
        <v>-3.6080729186593885E-6</v>
      </c>
      <c r="Z79" s="35">
        <f>bdrateOld($D79:$D82,F79:F82,$L79:$L82,N79:N82)</f>
        <v>-3.1470386945287032E-6</v>
      </c>
      <c r="AA79" s="36">
        <f>bdrateOld($D79:$D82,G79:G82,$L79:$L82,O79:O82)</f>
        <v>-3.2084645577024062E-6</v>
      </c>
    </row>
    <row r="80" spans="1:27" x14ac:dyDescent="0.2">
      <c r="A80" s="25" t="s">
        <v>101</v>
      </c>
      <c r="B80" s="25"/>
      <c r="C80" s="25">
        <v>27</v>
      </c>
      <c r="D80" s="12">
        <f>Reference!B390</f>
        <v>772.51760000000002</v>
      </c>
      <c r="E80" s="13">
        <f>Reference!C390</f>
        <v>40.564399999999999</v>
      </c>
      <c r="F80" s="13">
        <f>Reference!D390</f>
        <v>44.8855</v>
      </c>
      <c r="G80" s="13">
        <f>Reference!E390</f>
        <v>46.235300000000002</v>
      </c>
      <c r="H80" s="13">
        <f>Reference!F390</f>
        <v>13256.6966491</v>
      </c>
      <c r="I80" s="13">
        <f>Reference!G390</f>
        <v>17.714457988700001</v>
      </c>
      <c r="J80" s="14">
        <f t="shared" si="4"/>
        <v>3.6824157358611114</v>
      </c>
      <c r="L80" s="12">
        <f>Test!B390</f>
        <v>772.51599999999996</v>
      </c>
      <c r="M80" s="13">
        <f>Test!C390</f>
        <v>40.564399999999999</v>
      </c>
      <c r="N80" s="13">
        <f>Test!D390</f>
        <v>44.8855</v>
      </c>
      <c r="O80" s="13">
        <f>Test!E390</f>
        <v>46.235300000000002</v>
      </c>
      <c r="P80" s="13">
        <f>Test!F390</f>
        <v>13031.7644851</v>
      </c>
      <c r="Q80" s="13">
        <f>Test!G390</f>
        <v>16.223189115499999</v>
      </c>
      <c r="R80" s="14">
        <f t="shared" si="5"/>
        <v>3.6199345791944446</v>
      </c>
      <c r="S80" s="13">
        <f t="shared" si="6"/>
        <v>0.98303256309215836</v>
      </c>
      <c r="T80" s="13">
        <f t="shared" si="7"/>
        <v>0.9158162855362959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Reference!B391</f>
        <v>381.05919999999998</v>
      </c>
      <c r="E81" s="13">
        <f>Reference!C391</f>
        <v>38.004100000000001</v>
      </c>
      <c r="F81" s="13">
        <f>Reference!D391</f>
        <v>43.261899999999997</v>
      </c>
      <c r="G81" s="13">
        <f>Reference!E391</f>
        <v>44.589599999999997</v>
      </c>
      <c r="H81" s="13">
        <f>Reference!F391</f>
        <v>9145.4555699800003</v>
      </c>
      <c r="I81" s="13">
        <f>Reference!G391</f>
        <v>14.096231937400001</v>
      </c>
      <c r="J81" s="14">
        <f t="shared" si="4"/>
        <v>2.5404043249944444</v>
      </c>
      <c r="L81" s="12">
        <f>Test!B391</f>
        <v>381.05759999999998</v>
      </c>
      <c r="M81" s="13">
        <f>Test!C391</f>
        <v>38.004100000000001</v>
      </c>
      <c r="N81" s="13">
        <f>Test!D391</f>
        <v>43.261899999999997</v>
      </c>
      <c r="O81" s="13">
        <f>Test!E391</f>
        <v>44.589599999999997</v>
      </c>
      <c r="P81" s="13">
        <f>Test!F391</f>
        <v>9422.8975558300008</v>
      </c>
      <c r="Q81" s="13">
        <f>Test!G391</f>
        <v>14.1364700794</v>
      </c>
      <c r="R81" s="14">
        <f t="shared" si="5"/>
        <v>2.6174715432861113</v>
      </c>
      <c r="S81" s="13">
        <f t="shared" si="6"/>
        <v>1.030336595451921</v>
      </c>
      <c r="T81" s="13">
        <f t="shared" si="7"/>
        <v>1.0028545317769098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Reference!B392</f>
        <v>201.304</v>
      </c>
      <c r="E82" s="17">
        <f>Reference!C392</f>
        <v>35.163400000000003</v>
      </c>
      <c r="F82" s="17">
        <f>Reference!D392</f>
        <v>41.892600000000002</v>
      </c>
      <c r="G82" s="17">
        <f>Reference!E392</f>
        <v>43.086199999999998</v>
      </c>
      <c r="H82" s="17">
        <f>Reference!F392</f>
        <v>6831.5883648400004</v>
      </c>
      <c r="I82" s="17">
        <f>Reference!G392</f>
        <v>12.193346977199999</v>
      </c>
      <c r="J82" s="18">
        <f t="shared" si="4"/>
        <v>1.8976634346777779</v>
      </c>
      <c r="L82" s="16">
        <f>Test!B392</f>
        <v>201.30240000000001</v>
      </c>
      <c r="M82" s="17">
        <f>Test!C392</f>
        <v>35.163400000000003</v>
      </c>
      <c r="N82" s="17">
        <f>Test!D392</f>
        <v>41.892600000000002</v>
      </c>
      <c r="O82" s="17">
        <f>Test!E392</f>
        <v>43.086199999999998</v>
      </c>
      <c r="P82" s="17">
        <f>Test!F392</f>
        <v>6966.4657249499996</v>
      </c>
      <c r="Q82" s="17">
        <f>Test!G392</f>
        <v>12.1905751228</v>
      </c>
      <c r="R82" s="18">
        <f t="shared" si="5"/>
        <v>1.9351293680416666</v>
      </c>
      <c r="S82" s="13">
        <f t="shared" si="6"/>
        <v>1.0197431919060242</v>
      </c>
      <c r="T82" s="13">
        <f t="shared" si="7"/>
        <v>0.9997726748525092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79</v>
      </c>
      <c r="C83" s="24">
        <v>22</v>
      </c>
      <c r="D83" s="9">
        <f>Reference!B393</f>
        <v>1619.7840000000001</v>
      </c>
      <c r="E83" s="10">
        <f>Reference!C393</f>
        <v>43.206600000000002</v>
      </c>
      <c r="F83" s="10">
        <f>Reference!D393</f>
        <v>48.454500000000003</v>
      </c>
      <c r="G83" s="10">
        <f>Reference!E393</f>
        <v>49.142299999999999</v>
      </c>
      <c r="H83" s="10">
        <f>Reference!F393</f>
        <v>19639.533072900002</v>
      </c>
      <c r="I83" s="10">
        <f>Reference!G393</f>
        <v>23.5226399899</v>
      </c>
      <c r="J83" s="11">
        <f t="shared" si="4"/>
        <v>5.4554258535833338</v>
      </c>
      <c r="L83" s="9">
        <f>Test!B393</f>
        <v>1619.7824000000001</v>
      </c>
      <c r="M83" s="10">
        <f>Test!C393</f>
        <v>43.206600000000002</v>
      </c>
      <c r="N83" s="10">
        <f>Test!D393</f>
        <v>48.454500000000003</v>
      </c>
      <c r="O83" s="10">
        <f>Test!E393</f>
        <v>49.142299999999999</v>
      </c>
      <c r="P83" s="10">
        <f>Test!F393</f>
        <v>19019.235906099999</v>
      </c>
      <c r="Q83" s="10">
        <f>Test!G393</f>
        <v>20.807471036900001</v>
      </c>
      <c r="R83" s="11">
        <f t="shared" si="5"/>
        <v>5.2831210850277772</v>
      </c>
      <c r="S83" s="13">
        <f t="shared" si="6"/>
        <v>0.96841589031177466</v>
      </c>
      <c r="T83" s="13">
        <f t="shared" si="7"/>
        <v>0.88457209929813063</v>
      </c>
      <c r="U83" s="48"/>
      <c r="V83" s="30">
        <f>bdrate($D83:$D86,E83:E86,$L83:$L86,M83:M86)</f>
        <v>-8.570417718511969E-6</v>
      </c>
      <c r="W83" s="35">
        <f>bdrate($D83:$D86,F83:F86,$L83:$L86,N83:N86)</f>
        <v>-7.3106677912493367E-6</v>
      </c>
      <c r="X83" s="35">
        <f>bdrate($D83:$D86,G83:G86,$L83:$L86,O83:O86)</f>
        <v>-7.7589524034582524E-6</v>
      </c>
      <c r="Y83" s="33">
        <f>bdrateOld($D83:$D86,E83:E86,$L83:$L86,M83:M86)</f>
        <v>-8.5607751364458196E-6</v>
      </c>
      <c r="Z83" s="37">
        <f>bdrateOld($D83:$D86,F83:F86,$L83:$L86,N83:N86)</f>
        <v>-7.3032567822206573E-6</v>
      </c>
      <c r="AA83" s="38">
        <f>bdrateOld($D83:$D86,G83:G86,$L83:$L86,O83:O86)</f>
        <v>-7.7972658443226095E-6</v>
      </c>
    </row>
    <row r="84" spans="1:27" x14ac:dyDescent="0.2">
      <c r="A84" s="25"/>
      <c r="B84" s="25"/>
      <c r="C84" s="25">
        <v>27</v>
      </c>
      <c r="D84" s="12">
        <f>Reference!B394</f>
        <v>371.62799999999999</v>
      </c>
      <c r="E84" s="13">
        <f>Reference!C394</f>
        <v>41.428100000000001</v>
      </c>
      <c r="F84" s="13">
        <f>Reference!D394</f>
        <v>46.868899999999996</v>
      </c>
      <c r="G84" s="13">
        <f>Reference!E394</f>
        <v>47.581499999999998</v>
      </c>
      <c r="H84" s="13">
        <f>Reference!F394</f>
        <v>9707.1126568300006</v>
      </c>
      <c r="I84" s="13">
        <f>Reference!G394</f>
        <v>15.2327749729</v>
      </c>
      <c r="J84" s="14">
        <f t="shared" si="4"/>
        <v>2.696420182452778</v>
      </c>
      <c r="L84" s="12">
        <f>Test!B394</f>
        <v>371.62639999999999</v>
      </c>
      <c r="M84" s="13">
        <f>Test!C394</f>
        <v>41.428100000000001</v>
      </c>
      <c r="N84" s="13">
        <f>Test!D394</f>
        <v>46.868899999999996</v>
      </c>
      <c r="O84" s="13">
        <f>Test!E394</f>
        <v>47.581499999999998</v>
      </c>
      <c r="P84" s="13">
        <f>Test!F394</f>
        <v>9865.9821898900009</v>
      </c>
      <c r="Q84" s="13">
        <f>Test!G394</f>
        <v>14.7460939884</v>
      </c>
      <c r="R84" s="14">
        <f t="shared" si="5"/>
        <v>2.7405506083027782</v>
      </c>
      <c r="S84" s="13">
        <f t="shared" si="6"/>
        <v>1.0163663015642679</v>
      </c>
      <c r="T84" s="13">
        <f t="shared" si="7"/>
        <v>0.96805040543395193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Reference!B395</f>
        <v>158.6816</v>
      </c>
      <c r="E85" s="13">
        <f>Reference!C395</f>
        <v>39.423000000000002</v>
      </c>
      <c r="F85" s="13">
        <f>Reference!D395</f>
        <v>45.262300000000003</v>
      </c>
      <c r="G85" s="13">
        <f>Reference!E395</f>
        <v>46.022199999999998</v>
      </c>
      <c r="H85" s="13">
        <f>Reference!F395</f>
        <v>6273.6008880099998</v>
      </c>
      <c r="I85" s="13">
        <f>Reference!G395</f>
        <v>12.772149086000001</v>
      </c>
      <c r="J85" s="14">
        <f t="shared" si="4"/>
        <v>1.742666913336111</v>
      </c>
      <c r="L85" s="12">
        <f>Test!B395</f>
        <v>158.68</v>
      </c>
      <c r="M85" s="13">
        <f>Test!C395</f>
        <v>39.423000000000002</v>
      </c>
      <c r="N85" s="13">
        <f>Test!D395</f>
        <v>45.262300000000003</v>
      </c>
      <c r="O85" s="13">
        <f>Test!E395</f>
        <v>46.022199999999998</v>
      </c>
      <c r="P85" s="13">
        <f>Test!F395</f>
        <v>6415.9537839900004</v>
      </c>
      <c r="Q85" s="13">
        <f>Test!G395</f>
        <v>13.3307380676</v>
      </c>
      <c r="R85" s="14">
        <f t="shared" si="5"/>
        <v>1.7822093844416669</v>
      </c>
      <c r="S85" s="13">
        <f t="shared" si="6"/>
        <v>1.0226907797485274</v>
      </c>
      <c r="T85" s="13">
        <f t="shared" si="7"/>
        <v>1.0437349249401018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Reference!B396</f>
        <v>83.724800000000002</v>
      </c>
      <c r="E86" s="17">
        <f>Reference!C396</f>
        <v>37.058700000000002</v>
      </c>
      <c r="F86" s="17">
        <f>Reference!D396</f>
        <v>44.039200000000001</v>
      </c>
      <c r="G86" s="17">
        <f>Reference!E396</f>
        <v>44.555399999999999</v>
      </c>
      <c r="H86" s="17">
        <f>Reference!F396</f>
        <v>4116.4388458699996</v>
      </c>
      <c r="I86" s="17">
        <f>Reference!G396</f>
        <v>11.400990963</v>
      </c>
      <c r="J86" s="18">
        <f t="shared" si="4"/>
        <v>1.1434552349638887</v>
      </c>
      <c r="L86" s="16">
        <f>Test!B396</f>
        <v>83.723200000000006</v>
      </c>
      <c r="M86" s="17">
        <f>Test!C396</f>
        <v>37.058700000000002</v>
      </c>
      <c r="N86" s="17">
        <f>Test!D396</f>
        <v>44.039200000000001</v>
      </c>
      <c r="O86" s="17">
        <f>Test!E396</f>
        <v>44.555399999999999</v>
      </c>
      <c r="P86" s="17">
        <f>Test!F396</f>
        <v>4273.0042941600004</v>
      </c>
      <c r="Q86" s="17">
        <f>Test!G396</f>
        <v>11.853482008</v>
      </c>
      <c r="R86" s="18">
        <f t="shared" si="5"/>
        <v>1.1869456372666667</v>
      </c>
      <c r="S86" s="13">
        <f t="shared" si="6"/>
        <v>1.0380341975557543</v>
      </c>
      <c r="T86" s="13">
        <f t="shared" si="7"/>
        <v>1.039688746922832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80</v>
      </c>
      <c r="C87" s="24">
        <v>22</v>
      </c>
      <c r="D87" s="9">
        <f>Reference!B397</f>
        <v>1933.8448000000001</v>
      </c>
      <c r="E87" s="10">
        <f>Reference!C397</f>
        <v>43.555900000000001</v>
      </c>
      <c r="F87" s="10">
        <f>Reference!D397</f>
        <v>47.685699999999997</v>
      </c>
      <c r="G87" s="10">
        <f>Reference!E397</f>
        <v>48.650399999999998</v>
      </c>
      <c r="H87" s="10">
        <f>Reference!F397</f>
        <v>24298.167290000001</v>
      </c>
      <c r="I87" s="10">
        <f>Reference!G397</f>
        <v>25.265621900599999</v>
      </c>
      <c r="J87" s="11">
        <f t="shared" si="4"/>
        <v>6.7494909138888897</v>
      </c>
      <c r="L87" s="9">
        <f>Test!B397</f>
        <v>1933.8432</v>
      </c>
      <c r="M87" s="10">
        <f>Test!C397</f>
        <v>43.555900000000001</v>
      </c>
      <c r="N87" s="10">
        <f>Test!D397</f>
        <v>47.685699999999997</v>
      </c>
      <c r="O87" s="10">
        <f>Test!E397</f>
        <v>48.650399999999998</v>
      </c>
      <c r="P87" s="10">
        <f>Test!F397</f>
        <v>23691.332683100001</v>
      </c>
      <c r="Q87" s="10">
        <f>Test!G397</f>
        <v>22.9644770622</v>
      </c>
      <c r="R87" s="11">
        <f t="shared" si="5"/>
        <v>6.5809257453055556</v>
      </c>
      <c r="S87" s="13">
        <f t="shared" si="6"/>
        <v>0.97502549885111112</v>
      </c>
      <c r="T87" s="13">
        <f t="shared" si="7"/>
        <v>0.90892189998515915</v>
      </c>
      <c r="U87" s="48"/>
      <c r="V87" s="30">
        <f>bdrate($D87:$D90,E87:E90,$L87:$L90,M87:M90)</f>
        <v>-4.9813862252889862E-6</v>
      </c>
      <c r="W87" s="35">
        <f>bdrate($D87:$D90,F87:F90,$L87:$L90,N87:N90)</f>
        <v>-4.1862989089702651E-6</v>
      </c>
      <c r="X87" s="35">
        <f>bdrate($D87:$D90,G87:G90,$L87:$L90,O87:O90)</f>
        <v>-4.084393096071004E-6</v>
      </c>
      <c r="Y87" s="33">
        <f>bdrateOld($D87:$D90,E87:E90,$L87:$L90,M87:M90)</f>
        <v>-4.9738634771978596E-6</v>
      </c>
      <c r="Z87" s="37">
        <f>bdrateOld($D87:$D90,F87:F90,$L87:$L90,N87:N90)</f>
        <v>-4.2390224399557752E-6</v>
      </c>
      <c r="AA87" s="38">
        <f>bdrateOld($D87:$D90,G87:G90,$L87:$L90,O87:O90)</f>
        <v>-4.1525990570612237E-6</v>
      </c>
    </row>
    <row r="88" spans="1:27" x14ac:dyDescent="0.2">
      <c r="A88" s="25"/>
      <c r="B88" s="25"/>
      <c r="C88" s="25">
        <v>27</v>
      </c>
      <c r="D88" s="12">
        <f>Reference!B398</f>
        <v>613.22080000000005</v>
      </c>
      <c r="E88" s="13">
        <f>Reference!C398</f>
        <v>41.479199999999999</v>
      </c>
      <c r="F88" s="13">
        <f>Reference!D398</f>
        <v>45.762099999999997</v>
      </c>
      <c r="G88" s="13">
        <f>Reference!E398</f>
        <v>46.756700000000002</v>
      </c>
      <c r="H88" s="13">
        <f>Reference!F398</f>
        <v>13596.311948099999</v>
      </c>
      <c r="I88" s="13">
        <f>Reference!G398</f>
        <v>18.045002937300001</v>
      </c>
      <c r="J88" s="14">
        <f t="shared" si="4"/>
        <v>3.7767533189166667</v>
      </c>
      <c r="L88" s="12">
        <f>Test!B398</f>
        <v>613.2192</v>
      </c>
      <c r="M88" s="13">
        <f>Test!C398</f>
        <v>41.479199999999999</v>
      </c>
      <c r="N88" s="13">
        <f>Test!D398</f>
        <v>45.762099999999997</v>
      </c>
      <c r="O88" s="13">
        <f>Test!E398</f>
        <v>46.756700000000002</v>
      </c>
      <c r="P88" s="13">
        <f>Test!F398</f>
        <v>13366.7985759</v>
      </c>
      <c r="Q88" s="13">
        <f>Test!G398</f>
        <v>16.682591915100002</v>
      </c>
      <c r="R88" s="14">
        <f t="shared" si="5"/>
        <v>3.7129996044166669</v>
      </c>
      <c r="S88" s="13">
        <f t="shared" si="6"/>
        <v>0.98311943907464761</v>
      </c>
      <c r="T88" s="13">
        <f t="shared" si="7"/>
        <v>0.92449926292980411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Reference!B399</f>
        <v>272.59120000000001</v>
      </c>
      <c r="E89" s="13">
        <f>Reference!C399</f>
        <v>39.192100000000003</v>
      </c>
      <c r="F89" s="13">
        <f>Reference!D399</f>
        <v>44.063299999999998</v>
      </c>
      <c r="G89" s="13">
        <f>Reference!E399</f>
        <v>45.177300000000002</v>
      </c>
      <c r="H89" s="13">
        <f>Reference!F399</f>
        <v>9200.8858308800009</v>
      </c>
      <c r="I89" s="13">
        <f>Reference!G399</f>
        <v>15.1697499752</v>
      </c>
      <c r="J89" s="14">
        <f t="shared" si="4"/>
        <v>2.5558016196888893</v>
      </c>
      <c r="L89" s="12">
        <f>Test!B399</f>
        <v>272.58960000000002</v>
      </c>
      <c r="M89" s="13">
        <f>Test!C399</f>
        <v>39.192100000000003</v>
      </c>
      <c r="N89" s="13">
        <f>Test!D399</f>
        <v>44.063299999999998</v>
      </c>
      <c r="O89" s="13">
        <f>Test!E399</f>
        <v>45.177300000000002</v>
      </c>
      <c r="P89" s="13">
        <f>Test!F399</f>
        <v>9516.7769551300007</v>
      </c>
      <c r="Q89" s="13">
        <f>Test!G399</f>
        <v>15.277979135500001</v>
      </c>
      <c r="R89" s="14">
        <f t="shared" si="5"/>
        <v>2.6435491542027778</v>
      </c>
      <c r="S89" s="13">
        <f t="shared" si="6"/>
        <v>1.0343326860104933</v>
      </c>
      <c r="T89" s="13">
        <f t="shared" si="7"/>
        <v>1.0071345381747845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Reference!B400</f>
        <v>140.85679999999999</v>
      </c>
      <c r="E90" s="17">
        <f>Reference!C400</f>
        <v>36.625599999999999</v>
      </c>
      <c r="F90" s="17">
        <f>Reference!D400</f>
        <v>42.779800000000002</v>
      </c>
      <c r="G90" s="17">
        <f>Reference!E400</f>
        <v>44.015700000000002</v>
      </c>
      <c r="H90" s="17">
        <f>Reference!F400</f>
        <v>5998.0694251100003</v>
      </c>
      <c r="I90" s="17">
        <f>Reference!G400</f>
        <v>13.0921859741</v>
      </c>
      <c r="J90" s="18">
        <f t="shared" si="4"/>
        <v>1.6661303958638889</v>
      </c>
      <c r="L90" s="16">
        <f>Test!B400</f>
        <v>140.8552</v>
      </c>
      <c r="M90" s="17">
        <f>Test!C400</f>
        <v>36.625599999999999</v>
      </c>
      <c r="N90" s="17">
        <f>Test!D400</f>
        <v>42.779800000000002</v>
      </c>
      <c r="O90" s="17">
        <f>Test!E400</f>
        <v>44.015700000000002</v>
      </c>
      <c r="P90" s="17">
        <f>Test!F400</f>
        <v>6184.8485670099999</v>
      </c>
      <c r="Q90" s="17">
        <f>Test!G400</f>
        <v>13.296185016600001</v>
      </c>
      <c r="R90" s="18">
        <f t="shared" si="5"/>
        <v>1.7180134908361111</v>
      </c>
      <c r="S90" s="13">
        <f t="shared" si="6"/>
        <v>1.0311398766273157</v>
      </c>
      <c r="T90" s="13">
        <f t="shared" si="7"/>
        <v>1.0155817403528768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102</v>
      </c>
      <c r="B91" s="24" t="s">
        <v>81</v>
      </c>
      <c r="C91" s="24">
        <v>22</v>
      </c>
      <c r="D91" s="9">
        <f>Reference!B401</f>
        <v>3593.6792</v>
      </c>
      <c r="E91" s="10">
        <f>Reference!C401</f>
        <v>40.613999999999997</v>
      </c>
      <c r="F91" s="10">
        <f>Reference!D401</f>
        <v>43.165799999999997</v>
      </c>
      <c r="G91" s="10">
        <f>Reference!E401</f>
        <v>43.8003</v>
      </c>
      <c r="H91" s="10">
        <f>Reference!F401</f>
        <v>22555.879639899998</v>
      </c>
      <c r="I91" s="10">
        <f>Reference!G401</f>
        <v>17.024314880399999</v>
      </c>
      <c r="J91" s="11">
        <f t="shared" ref="J91:J106" si="8">H91/3600</f>
        <v>6.2655221221944437</v>
      </c>
      <c r="L91" s="9">
        <f>Test!B401</f>
        <v>3593.6776</v>
      </c>
      <c r="M91" s="10">
        <f>Test!C401</f>
        <v>40.613999999999997</v>
      </c>
      <c r="N91" s="10">
        <f>Test!D401</f>
        <v>43.165799999999997</v>
      </c>
      <c r="O91" s="10">
        <f>Test!E401</f>
        <v>43.8003</v>
      </c>
      <c r="P91" s="10">
        <f>Test!F401</f>
        <v>21859.337851</v>
      </c>
      <c r="Q91" s="10">
        <f>Test!G401</f>
        <v>16.168041944500001</v>
      </c>
      <c r="R91" s="11">
        <f t="shared" ref="R91:R106" si="9">P91/3600</f>
        <v>6.0720382919444447</v>
      </c>
      <c r="S91" s="10">
        <f t="shared" ref="S91:S106" si="10">P91/H91</f>
        <v>0.96911928064787789</v>
      </c>
      <c r="T91" s="10">
        <f t="shared" ref="T91:T106" si="11">Q91/I91</f>
        <v>0.94970294300149372</v>
      </c>
      <c r="U91" s="47"/>
      <c r="V91" s="30">
        <f>bdrate($D91:$D94,E91:E94,$L91:$L94,M91:M94)</f>
        <v>-1.5369092589700983E-6</v>
      </c>
      <c r="W91" s="35">
        <f>bdrate($D91:$D94,F91:F94,$L91:$L94,N91:N94)</f>
        <v>-1.4369986232054544E-6</v>
      </c>
      <c r="X91" s="36">
        <f>bdrate($D91:$D94,G91:G94,$L91:$L94,O91:O94)</f>
        <v>-1.4482546568661547E-6</v>
      </c>
      <c r="Y91" s="30">
        <f>bdrateOld($D91:$D94,E91:E94,$L91:$L94,M91:M94)</f>
        <v>-1.5430812562167162E-6</v>
      </c>
      <c r="Z91" s="35">
        <f>bdrateOld($D91:$D94,F91:F94,$L91:$L94,N91:N94)</f>
        <v>-1.4558044707513318E-6</v>
      </c>
      <c r="AA91" s="36">
        <f>bdrateOld($D91:$D94,G91:G94,$L91:$L94,O91:O94)</f>
        <v>-1.4626057240896273E-6</v>
      </c>
    </row>
    <row r="92" spans="1:27" x14ac:dyDescent="0.2">
      <c r="A92" s="25"/>
      <c r="B92" s="25"/>
      <c r="C92" s="25">
        <v>27</v>
      </c>
      <c r="D92" s="12">
        <f>Reference!B402</f>
        <v>1627.5488</v>
      </c>
      <c r="E92" s="13">
        <f>Reference!C402</f>
        <v>37.227400000000003</v>
      </c>
      <c r="F92" s="13">
        <f>Reference!D402</f>
        <v>40.4161</v>
      </c>
      <c r="G92" s="13">
        <f>Reference!E402</f>
        <v>40.8264</v>
      </c>
      <c r="H92" s="13">
        <f>Reference!F402</f>
        <v>17004.224690899999</v>
      </c>
      <c r="I92" s="13">
        <f>Reference!G402</f>
        <v>12.685087919200001</v>
      </c>
      <c r="J92" s="14">
        <f t="shared" si="8"/>
        <v>4.7233957474722219</v>
      </c>
      <c r="L92" s="12">
        <f>Test!B402</f>
        <v>1627.5472</v>
      </c>
      <c r="M92" s="13">
        <f>Test!C402</f>
        <v>37.227400000000003</v>
      </c>
      <c r="N92" s="13">
        <f>Test!D402</f>
        <v>40.4161</v>
      </c>
      <c r="O92" s="13">
        <f>Test!E402</f>
        <v>40.8264</v>
      </c>
      <c r="P92" s="13">
        <f>Test!F402</f>
        <v>16713.937436100001</v>
      </c>
      <c r="Q92" s="13">
        <f>Test!G402</f>
        <v>12.3492019176</v>
      </c>
      <c r="R92" s="14">
        <f t="shared" si="9"/>
        <v>4.6427603989166668</v>
      </c>
      <c r="S92" s="13">
        <f t="shared" si="10"/>
        <v>0.98292852158350108</v>
      </c>
      <c r="T92" s="13">
        <f t="shared" si="11"/>
        <v>0.9735211924631908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Reference!B403</f>
        <v>804.72640000000001</v>
      </c>
      <c r="E93" s="13">
        <f>Reference!C403</f>
        <v>34.354999999999997</v>
      </c>
      <c r="F93" s="13">
        <f>Reference!D403</f>
        <v>38.362900000000003</v>
      </c>
      <c r="G93" s="13">
        <f>Reference!E403</f>
        <v>38.712400000000002</v>
      </c>
      <c r="H93" s="13">
        <f>Reference!F403</f>
        <v>12094.651783900001</v>
      </c>
      <c r="I93" s="13">
        <f>Reference!G403</f>
        <v>10.3766229153</v>
      </c>
      <c r="J93" s="14">
        <f t="shared" si="8"/>
        <v>3.3596254955277778</v>
      </c>
      <c r="L93" s="12">
        <f>Test!B403</f>
        <v>804.72479999999996</v>
      </c>
      <c r="M93" s="13">
        <f>Test!C403</f>
        <v>34.354999999999997</v>
      </c>
      <c r="N93" s="13">
        <f>Test!D403</f>
        <v>38.362900000000003</v>
      </c>
      <c r="O93" s="13">
        <f>Test!E403</f>
        <v>38.712400000000002</v>
      </c>
      <c r="P93" s="13">
        <f>Test!F403</f>
        <v>11812.3741579</v>
      </c>
      <c r="Q93" s="13">
        <f>Test!G403</f>
        <v>9.7051091194199994</v>
      </c>
      <c r="R93" s="14">
        <f t="shared" si="9"/>
        <v>3.2812150438611112</v>
      </c>
      <c r="S93" s="13">
        <f t="shared" si="10"/>
        <v>0.97666095468943059</v>
      </c>
      <c r="T93" s="13">
        <f t="shared" si="11"/>
        <v>0.93528590165015291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Reference!B404</f>
        <v>423.1728</v>
      </c>
      <c r="E94" s="17">
        <f>Reference!C404</f>
        <v>31.763200000000001</v>
      </c>
      <c r="F94" s="17">
        <f>Reference!D404</f>
        <v>36.729599999999998</v>
      </c>
      <c r="G94" s="17">
        <f>Reference!E404</f>
        <v>36.890900000000002</v>
      </c>
      <c r="H94" s="17">
        <f>Reference!F404</f>
        <v>8592.6221509000006</v>
      </c>
      <c r="I94" s="17">
        <f>Reference!G404</f>
        <v>8.28801679611</v>
      </c>
      <c r="J94" s="18">
        <f t="shared" si="8"/>
        <v>2.3868394863611111</v>
      </c>
      <c r="L94" s="16">
        <f>Test!B404</f>
        <v>423.1712</v>
      </c>
      <c r="M94" s="17">
        <f>Test!C404</f>
        <v>31.763200000000001</v>
      </c>
      <c r="N94" s="17">
        <f>Test!D404</f>
        <v>36.729599999999998</v>
      </c>
      <c r="O94" s="17">
        <f>Test!E404</f>
        <v>36.890900000000002</v>
      </c>
      <c r="P94" s="17">
        <f>Test!F404</f>
        <v>8492.4408979399996</v>
      </c>
      <c r="Q94" s="17">
        <f>Test!G404</f>
        <v>7.4516961574599998</v>
      </c>
      <c r="R94" s="18">
        <f t="shared" si="9"/>
        <v>2.3590113605388887</v>
      </c>
      <c r="S94" s="13">
        <f t="shared" si="10"/>
        <v>0.98834101497765636</v>
      </c>
      <c r="T94" s="13">
        <f t="shared" si="11"/>
        <v>0.89909279152975063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110</v>
      </c>
      <c r="C95" s="24">
        <v>22</v>
      </c>
      <c r="D95" s="9">
        <f>Reference!B405</f>
        <v>13678.191999999999</v>
      </c>
      <c r="E95" s="10">
        <f>Reference!C405</f>
        <v>42.374099999999999</v>
      </c>
      <c r="F95" s="10">
        <f>Reference!D405</f>
        <v>44.205800000000004</v>
      </c>
      <c r="G95" s="10">
        <f>Reference!E405</f>
        <v>44.8994</v>
      </c>
      <c r="H95" s="10">
        <f>Reference!F405</f>
        <v>78060.031048999997</v>
      </c>
      <c r="I95" s="10">
        <f>Reference!G405</f>
        <v>89.265703916500001</v>
      </c>
      <c r="J95" s="11">
        <f t="shared" si="8"/>
        <v>21.683341958055554</v>
      </c>
      <c r="L95" s="9">
        <f>Test!B405</f>
        <v>13678.190399999999</v>
      </c>
      <c r="M95" s="10">
        <f>Test!C405</f>
        <v>42.374099999999999</v>
      </c>
      <c r="N95" s="10">
        <f>Test!D405</f>
        <v>44.205800000000004</v>
      </c>
      <c r="O95" s="10">
        <f>Test!E405</f>
        <v>44.8994</v>
      </c>
      <c r="P95" s="10">
        <f>Test!F405</f>
        <v>74643.665364999993</v>
      </c>
      <c r="Q95" s="10">
        <f>Test!G405</f>
        <v>80.508993864100006</v>
      </c>
      <c r="R95" s="11">
        <f t="shared" si="9"/>
        <v>20.734351490277778</v>
      </c>
      <c r="S95" s="13">
        <f t="shared" si="10"/>
        <v>0.95623412342924285</v>
      </c>
      <c r="T95" s="13">
        <f t="shared" si="11"/>
        <v>0.90190286226173599</v>
      </c>
      <c r="U95" s="48"/>
      <c r="V95" s="30">
        <f>bdrate($D95:$D98,E95:E98,$L95:$L98,M95:M98)</f>
        <v>-4.6534986675172973E-7</v>
      </c>
      <c r="W95" s="35">
        <f>bdrate($D95:$D98,F95:F98,$L95:$L98,N95:N98)</f>
        <v>-4.2479716910737153E-7</v>
      </c>
      <c r="X95" s="35">
        <f>bdrate($D95:$D98,G95:G98,$L95:$L98,O95:O98)</f>
        <v>-4.2748808914971903E-7</v>
      </c>
      <c r="Y95" s="33">
        <f>bdrateOld($D95:$D98,E95:E98,$L95:$L98,M95:M98)</f>
        <v>-4.6794109431758102E-7</v>
      </c>
      <c r="Z95" s="37">
        <f>bdrateOld($D95:$D98,F95:F98,$L95:$L98,N95:N98)</f>
        <v>-4.3187151455015282E-7</v>
      </c>
      <c r="AA95" s="38">
        <f>bdrateOld($D95:$D98,G95:G98,$L95:$L98,O95:O98)</f>
        <v>-4.3194558874137812E-7</v>
      </c>
    </row>
    <row r="96" spans="1:27" x14ac:dyDescent="0.2">
      <c r="A96" s="25"/>
      <c r="B96" s="25"/>
      <c r="C96" s="25">
        <v>27</v>
      </c>
      <c r="D96" s="12">
        <f>Reference!B406</f>
        <v>5719.9296000000004</v>
      </c>
      <c r="E96" s="13">
        <f>Reference!C406</f>
        <v>38.9116</v>
      </c>
      <c r="F96" s="13">
        <f>Reference!D406</f>
        <v>41.4666</v>
      </c>
      <c r="G96" s="13">
        <f>Reference!E406</f>
        <v>41.951900000000002</v>
      </c>
      <c r="H96" s="13">
        <f>Reference!F406</f>
        <v>55793.702838899997</v>
      </c>
      <c r="I96" s="13">
        <f>Reference!G406</f>
        <v>62.028731107699997</v>
      </c>
      <c r="J96" s="14">
        <f t="shared" si="8"/>
        <v>15.498250788583332</v>
      </c>
      <c r="L96" s="12">
        <f>Test!B406</f>
        <v>5719.9279999999999</v>
      </c>
      <c r="M96" s="13">
        <f>Test!C406</f>
        <v>38.9116</v>
      </c>
      <c r="N96" s="13">
        <f>Test!D406</f>
        <v>41.4666</v>
      </c>
      <c r="O96" s="13">
        <f>Test!E406</f>
        <v>41.951900000000002</v>
      </c>
      <c r="P96" s="13">
        <f>Test!F406</f>
        <v>54494.825452800003</v>
      </c>
      <c r="Q96" s="13">
        <f>Test!G406</f>
        <v>59.861099004700002</v>
      </c>
      <c r="R96" s="14">
        <f t="shared" si="9"/>
        <v>15.137451514666667</v>
      </c>
      <c r="S96" s="13">
        <f t="shared" si="10"/>
        <v>0.97672000028658423</v>
      </c>
      <c r="T96" s="13">
        <f t="shared" si="11"/>
        <v>0.96505438585812187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Reference!B407</f>
        <v>2649.8591999999999</v>
      </c>
      <c r="E97" s="13">
        <f>Reference!C407</f>
        <v>35.933199999999999</v>
      </c>
      <c r="F97" s="13">
        <f>Reference!D407</f>
        <v>39.529200000000003</v>
      </c>
      <c r="G97" s="13">
        <f>Reference!E407</f>
        <v>39.871299999999998</v>
      </c>
      <c r="H97" s="13">
        <f>Reference!F407</f>
        <v>42850.108248899996</v>
      </c>
      <c r="I97" s="13">
        <f>Reference!G407</f>
        <v>50.103420972800002</v>
      </c>
      <c r="J97" s="14">
        <f t="shared" si="8"/>
        <v>11.902807846916666</v>
      </c>
      <c r="L97" s="12">
        <f>Test!B407</f>
        <v>2649.8575999999998</v>
      </c>
      <c r="M97" s="13">
        <f>Test!C407</f>
        <v>35.933199999999999</v>
      </c>
      <c r="N97" s="13">
        <f>Test!D407</f>
        <v>39.529200000000003</v>
      </c>
      <c r="O97" s="13">
        <f>Test!E407</f>
        <v>39.871299999999998</v>
      </c>
      <c r="P97" s="13">
        <f>Test!F407</f>
        <v>42299.627576799998</v>
      </c>
      <c r="Q97" s="13">
        <f>Test!G407</f>
        <v>47.318634986900001</v>
      </c>
      <c r="R97" s="14">
        <f t="shared" si="9"/>
        <v>11.74989654911111</v>
      </c>
      <c r="S97" s="13">
        <f t="shared" si="10"/>
        <v>0.98715334232290697</v>
      </c>
      <c r="T97" s="13">
        <f t="shared" si="11"/>
        <v>0.94441924459785298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Reference!B408</f>
        <v>1315.0871999999999</v>
      </c>
      <c r="E98" s="17">
        <f>Reference!C408</f>
        <v>33.2455</v>
      </c>
      <c r="F98" s="17">
        <f>Reference!D408</f>
        <v>37.978200000000001</v>
      </c>
      <c r="G98" s="17">
        <f>Reference!E408</f>
        <v>38.1661</v>
      </c>
      <c r="H98" s="17">
        <f>Reference!F408</f>
        <v>30145.8005691</v>
      </c>
      <c r="I98" s="17">
        <f>Reference!G408</f>
        <v>39.132692098600003</v>
      </c>
      <c r="J98" s="18">
        <f t="shared" si="8"/>
        <v>8.3738334914166668</v>
      </c>
      <c r="L98" s="16">
        <f>Test!B408</f>
        <v>1315.0856000000001</v>
      </c>
      <c r="M98" s="17">
        <f>Test!C408</f>
        <v>33.2455</v>
      </c>
      <c r="N98" s="17">
        <f>Test!D408</f>
        <v>37.978200000000001</v>
      </c>
      <c r="O98" s="17">
        <f>Test!E408</f>
        <v>38.1661</v>
      </c>
      <c r="P98" s="17">
        <f>Test!F408</f>
        <v>29662.797605</v>
      </c>
      <c r="Q98" s="17">
        <f>Test!G408</f>
        <v>36.946845054599997</v>
      </c>
      <c r="R98" s="18">
        <f t="shared" si="9"/>
        <v>8.2396660013888887</v>
      </c>
      <c r="S98" s="13">
        <f t="shared" si="10"/>
        <v>0.98397776954064087</v>
      </c>
      <c r="T98" s="13">
        <f t="shared" si="11"/>
        <v>0.94414268666994661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83</v>
      </c>
      <c r="C99" s="24">
        <v>22</v>
      </c>
      <c r="D99" s="9">
        <f>Reference!B409</f>
        <v>280.65120000000002</v>
      </c>
      <c r="E99" s="10">
        <f>Reference!C409</f>
        <v>47.358600000000003</v>
      </c>
      <c r="F99" s="10">
        <f>Reference!D409</f>
        <v>45.725299999999997</v>
      </c>
      <c r="G99" s="10">
        <f>Reference!E409</f>
        <v>45.982999999999997</v>
      </c>
      <c r="H99" s="10">
        <f>Reference!F409</f>
        <v>2451.5367269499998</v>
      </c>
      <c r="I99" s="10">
        <f>Reference!G409</f>
        <v>5.4551119804399999</v>
      </c>
      <c r="J99" s="11">
        <f t="shared" si="8"/>
        <v>0.68098242415277777</v>
      </c>
      <c r="L99" s="9">
        <f>Test!B409</f>
        <v>280.64960000000002</v>
      </c>
      <c r="M99" s="10">
        <f>Test!C409</f>
        <v>47.358600000000003</v>
      </c>
      <c r="N99" s="10">
        <f>Test!D409</f>
        <v>45.725299999999997</v>
      </c>
      <c r="O99" s="10">
        <f>Test!E409</f>
        <v>45.982999999999997</v>
      </c>
      <c r="P99" s="10">
        <f>Test!F409</f>
        <v>2414.6120669799998</v>
      </c>
      <c r="Q99" s="10">
        <f>Test!G409</f>
        <v>4.9250831603999998</v>
      </c>
      <c r="R99" s="11">
        <f t="shared" si="9"/>
        <v>0.670725574161111</v>
      </c>
      <c r="S99" s="13">
        <f t="shared" si="10"/>
        <v>0.98493815753846015</v>
      </c>
      <c r="T99" s="13">
        <f t="shared" si="11"/>
        <v>0.90283814118931272</v>
      </c>
      <c r="U99" s="48"/>
      <c r="V99" s="30">
        <f>bdrate($D99:$D102,E99:E102,$L99:$L102,M99:M102)</f>
        <v>-9.3551773747702072E-6</v>
      </c>
      <c r="W99" s="35">
        <f>bdrate($D99:$D102,F99:F102,$L99:$L102,N99:N102)</f>
        <v>-7.9787111882945183E-6</v>
      </c>
      <c r="X99" s="35">
        <f>bdrate($D99:$D102,G99:G102,$L99:$L102,O99:O102)</f>
        <v>-8.0341302447495266E-6</v>
      </c>
      <c r="Y99" s="33">
        <f>bdrateOld($D99:$D102,E99:E102,$L99:$L102,M99:M102)</f>
        <v>-9.3529709999096156E-6</v>
      </c>
      <c r="Z99" s="37">
        <f>bdrateOld($D99:$D102,F99:F102,$L99:$L102,N99:N102)</f>
        <v>-8.3477778375362632E-6</v>
      </c>
      <c r="AA99" s="38">
        <f>bdrateOld($D99:$D102,G99:G102,$L99:$L102,O99:O102)</f>
        <v>-8.2892912033338817E-6</v>
      </c>
    </row>
    <row r="100" spans="1:27" x14ac:dyDescent="0.2">
      <c r="A100" s="25"/>
      <c r="B100" s="25"/>
      <c r="C100" s="25">
        <v>27</v>
      </c>
      <c r="D100" s="12">
        <f>Reference!B410</f>
        <v>209.376</v>
      </c>
      <c r="E100" s="13">
        <f>Reference!C410</f>
        <v>43.078600000000002</v>
      </c>
      <c r="F100" s="13">
        <f>Reference!D410</f>
        <v>41.660899999999998</v>
      </c>
      <c r="G100" s="13">
        <f>Reference!E410</f>
        <v>42.0456</v>
      </c>
      <c r="H100" s="13">
        <f>Reference!F410</f>
        <v>2102.7203869800001</v>
      </c>
      <c r="I100" s="13">
        <f>Reference!G410</f>
        <v>5.2845458984400002</v>
      </c>
      <c r="J100" s="14">
        <f t="shared" si="8"/>
        <v>0.58408899638333334</v>
      </c>
      <c r="L100" s="12">
        <f>Test!B410</f>
        <v>209.37440000000001</v>
      </c>
      <c r="M100" s="13">
        <f>Test!C410</f>
        <v>43.078600000000002</v>
      </c>
      <c r="N100" s="13">
        <f>Test!D410</f>
        <v>41.660899999999998</v>
      </c>
      <c r="O100" s="13">
        <f>Test!E410</f>
        <v>42.0456</v>
      </c>
      <c r="P100" s="13">
        <f>Test!F410</f>
        <v>2064.2429721399999</v>
      </c>
      <c r="Q100" s="13">
        <f>Test!G410</f>
        <v>4.8001120090500002</v>
      </c>
      <c r="R100" s="14">
        <f t="shared" si="9"/>
        <v>0.57340082559444439</v>
      </c>
      <c r="S100" s="13">
        <f t="shared" si="10"/>
        <v>0.98170112627515693</v>
      </c>
      <c r="T100" s="13">
        <f t="shared" si="11"/>
        <v>0.90833008195973752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Reference!B411</f>
        <v>155.2912</v>
      </c>
      <c r="E101" s="13">
        <f>Reference!C411</f>
        <v>38.47</v>
      </c>
      <c r="F101" s="13">
        <f>Reference!D411</f>
        <v>39.478299999999997</v>
      </c>
      <c r="G101" s="13">
        <f>Reference!E411</f>
        <v>40.044800000000002</v>
      </c>
      <c r="H101" s="13">
        <f>Reference!F411</f>
        <v>1914.99539304</v>
      </c>
      <c r="I101" s="13">
        <f>Reference!G411</f>
        <v>5.1657140254999998</v>
      </c>
      <c r="J101" s="14">
        <f t="shared" si="8"/>
        <v>0.53194316473333336</v>
      </c>
      <c r="L101" s="12">
        <f>Test!B411</f>
        <v>155.28960000000001</v>
      </c>
      <c r="M101" s="13">
        <f>Test!C411</f>
        <v>38.47</v>
      </c>
      <c r="N101" s="13">
        <f>Test!D411</f>
        <v>39.478299999999997</v>
      </c>
      <c r="O101" s="13">
        <f>Test!E411</f>
        <v>40.044800000000002</v>
      </c>
      <c r="P101" s="13">
        <f>Test!F411</f>
        <v>1974.27075195</v>
      </c>
      <c r="Q101" s="13">
        <f>Test!G411</f>
        <v>5.4032881259899996</v>
      </c>
      <c r="R101" s="14">
        <f t="shared" si="9"/>
        <v>0.54840854220833335</v>
      </c>
      <c r="S101" s="13">
        <f t="shared" si="10"/>
        <v>1.0309532644963193</v>
      </c>
      <c r="T101" s="13">
        <f t="shared" si="11"/>
        <v>1.0459905638053597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Reference!B412</f>
        <v>112.8544</v>
      </c>
      <c r="E102" s="17">
        <f>Reference!C412</f>
        <v>33.560600000000001</v>
      </c>
      <c r="F102" s="17">
        <f>Reference!D412</f>
        <v>38.334299999999999</v>
      </c>
      <c r="G102" s="17">
        <f>Reference!E412</f>
        <v>38.8078</v>
      </c>
      <c r="H102" s="17">
        <f>Reference!F412</f>
        <v>1768.8573160200001</v>
      </c>
      <c r="I102" s="17">
        <f>Reference!G412</f>
        <v>4.993019104</v>
      </c>
      <c r="J102" s="18">
        <f t="shared" si="8"/>
        <v>0.49134925445000005</v>
      </c>
      <c r="L102" s="16">
        <f>Test!B412</f>
        <v>112.8528</v>
      </c>
      <c r="M102" s="17">
        <f>Test!C412</f>
        <v>33.560600000000001</v>
      </c>
      <c r="N102" s="17">
        <f>Test!D412</f>
        <v>38.334299999999999</v>
      </c>
      <c r="O102" s="17">
        <f>Test!E412</f>
        <v>38.8078</v>
      </c>
      <c r="P102" s="17">
        <f>Test!F412</f>
        <v>1835.38482189</v>
      </c>
      <c r="Q102" s="17">
        <f>Test!G412</f>
        <v>5.2327990531899999</v>
      </c>
      <c r="R102" s="18">
        <f t="shared" si="9"/>
        <v>0.50982911719166668</v>
      </c>
      <c r="S102" s="13">
        <f t="shared" si="10"/>
        <v>1.0376104422145758</v>
      </c>
      <c r="T102" s="13">
        <f t="shared" si="11"/>
        <v>1.048023038605622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84</v>
      </c>
      <c r="C103" s="24">
        <v>22</v>
      </c>
      <c r="D103" s="9">
        <f>Reference!B413</f>
        <v>588.85249999999996</v>
      </c>
      <c r="E103" s="10">
        <f>Reference!C413</f>
        <v>49.390099999999997</v>
      </c>
      <c r="F103" s="10">
        <f>Reference!D413</f>
        <v>52.907200000000003</v>
      </c>
      <c r="G103" s="10">
        <f>Reference!E413</f>
        <v>53.9345</v>
      </c>
      <c r="H103" s="10">
        <f>Reference!F413</f>
        <v>11065.523498099999</v>
      </c>
      <c r="I103" s="10">
        <f>Reference!G413</f>
        <v>14.690459966700001</v>
      </c>
      <c r="J103" s="11">
        <f t="shared" si="8"/>
        <v>3.07375652725</v>
      </c>
      <c r="L103" s="9">
        <f>Test!B413</f>
        <v>588.85180000000003</v>
      </c>
      <c r="M103" s="10">
        <f>Test!C413</f>
        <v>49.390099999999997</v>
      </c>
      <c r="N103" s="10">
        <f>Test!D413</f>
        <v>52.907200000000003</v>
      </c>
      <c r="O103" s="10">
        <f>Test!E413</f>
        <v>53.9345</v>
      </c>
      <c r="P103" s="10">
        <f>Test!F413</f>
        <v>10793.8274062</v>
      </c>
      <c r="Q103" s="10">
        <f>Test!G413</f>
        <v>13.2792289257</v>
      </c>
      <c r="R103" s="11">
        <f t="shared" si="9"/>
        <v>2.9982853906111111</v>
      </c>
      <c r="S103" s="13">
        <f t="shared" si="10"/>
        <v>0.97544661199746663</v>
      </c>
      <c r="T103" s="13">
        <f t="shared" si="11"/>
        <v>0.90393554427846734</v>
      </c>
      <c r="U103" s="48"/>
      <c r="V103" s="30">
        <f>bdrate($D103:$D106,E103:E106,$L103:$L106,M103:M106)</f>
        <v>-2.734586704633557E-6</v>
      </c>
      <c r="W103" s="35">
        <f>bdrate($D103:$D106,F103:F106,$L103:$L106,N103:N106)</f>
        <v>-2.5152833083019743E-6</v>
      </c>
      <c r="X103" s="35">
        <f>bdrate($D103:$D106,G103:G106,$L103:$L106,O103:O106)</f>
        <v>-2.3544234168948464E-6</v>
      </c>
      <c r="Y103" s="33">
        <f>bdrateOld($D103:$D106,E103:E106,$L103:$L106,M103:M106)</f>
        <v>-2.7344756654557045E-6</v>
      </c>
      <c r="Z103" s="37">
        <f>bdrateOld($D103:$D106,F103:F106,$L103:$L106,N103:N106)</f>
        <v>-2.5246463400963037E-6</v>
      </c>
      <c r="AA103" s="38">
        <f>bdrateOld($D103:$D106,G103:G106,$L103:$L106,O103:O106)</f>
        <v>-2.4117855803584831E-6</v>
      </c>
    </row>
    <row r="104" spans="1:27" x14ac:dyDescent="0.2">
      <c r="A104" s="25"/>
      <c r="B104" s="25"/>
      <c r="C104" s="25">
        <v>27</v>
      </c>
      <c r="D104" s="12">
        <f>Reference!B414</f>
        <v>322.03840000000002</v>
      </c>
      <c r="E104" s="13">
        <f>Reference!C414</f>
        <v>45.367699999999999</v>
      </c>
      <c r="F104" s="13">
        <f>Reference!D414</f>
        <v>49.595599999999997</v>
      </c>
      <c r="G104" s="13">
        <f>Reference!E414</f>
        <v>50.798900000000003</v>
      </c>
      <c r="H104" s="13">
        <f>Reference!F414</f>
        <v>9142.0193688899999</v>
      </c>
      <c r="I104" s="13">
        <f>Reference!G414</f>
        <v>13.5585780144</v>
      </c>
      <c r="J104" s="14">
        <f t="shared" si="8"/>
        <v>2.5394498246916668</v>
      </c>
      <c r="L104" s="12">
        <f>Test!B414</f>
        <v>322.0378</v>
      </c>
      <c r="M104" s="13">
        <f>Test!C414</f>
        <v>45.367699999999999</v>
      </c>
      <c r="N104" s="13">
        <f>Test!D414</f>
        <v>49.595599999999997</v>
      </c>
      <c r="O104" s="13">
        <f>Test!E414</f>
        <v>50.798900000000003</v>
      </c>
      <c r="P104" s="13">
        <f>Test!F414</f>
        <v>9378.4716680000001</v>
      </c>
      <c r="Q104" s="13">
        <f>Test!G414</f>
        <v>13.3186991215</v>
      </c>
      <c r="R104" s="14">
        <f t="shared" si="9"/>
        <v>2.6051310188888888</v>
      </c>
      <c r="S104" s="13">
        <f t="shared" si="10"/>
        <v>1.025864340204161</v>
      </c>
      <c r="T104" s="13">
        <f t="shared" si="11"/>
        <v>0.98230796086099625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Reference!B415</f>
        <v>182.80350000000001</v>
      </c>
      <c r="E105" s="13">
        <f>Reference!C415</f>
        <v>41.642200000000003</v>
      </c>
      <c r="F105" s="13">
        <f>Reference!D415</f>
        <v>47.219499999999996</v>
      </c>
      <c r="G105" s="13">
        <f>Reference!E415</f>
        <v>48.324199999999998</v>
      </c>
      <c r="H105" s="13">
        <f>Reference!F415</f>
        <v>7330.2553610799996</v>
      </c>
      <c r="I105" s="13">
        <f>Reference!G415</f>
        <v>12.4541089535</v>
      </c>
      <c r="J105" s="14">
        <f t="shared" si="8"/>
        <v>2.0361820447444443</v>
      </c>
      <c r="L105" s="12">
        <f>Test!B415</f>
        <v>182.80289999999999</v>
      </c>
      <c r="M105" s="13">
        <f>Test!C415</f>
        <v>41.642200000000003</v>
      </c>
      <c r="N105" s="13">
        <f>Test!D415</f>
        <v>47.219499999999996</v>
      </c>
      <c r="O105" s="13">
        <f>Test!E415</f>
        <v>48.324199999999998</v>
      </c>
      <c r="P105" s="13">
        <f>Test!F415</f>
        <v>7523.6465609099996</v>
      </c>
      <c r="Q105" s="13">
        <f>Test!G415</f>
        <v>12.2046449184</v>
      </c>
      <c r="R105" s="14">
        <f t="shared" si="9"/>
        <v>2.0899018224749999</v>
      </c>
      <c r="S105" s="13">
        <f t="shared" si="10"/>
        <v>1.0263826006467403</v>
      </c>
      <c r="T105" s="13">
        <f t="shared" si="11"/>
        <v>0.97996933895219429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Reference!B416</f>
        <v>108.8736</v>
      </c>
      <c r="E106" s="17">
        <f>Reference!C416</f>
        <v>37.8797</v>
      </c>
      <c r="F106" s="17">
        <f>Reference!D416</f>
        <v>45.154800000000002</v>
      </c>
      <c r="G106" s="17">
        <f>Reference!E416</f>
        <v>46.947699999999998</v>
      </c>
      <c r="H106" s="17">
        <f>Reference!F416</f>
        <v>5825.22035289</v>
      </c>
      <c r="I106" s="17">
        <f>Reference!G416</f>
        <v>11.4980740547</v>
      </c>
      <c r="J106" s="18">
        <f t="shared" si="8"/>
        <v>1.6181167646916668</v>
      </c>
      <c r="L106" s="16">
        <f>Test!B416</f>
        <v>108.873</v>
      </c>
      <c r="M106" s="17">
        <f>Test!C416</f>
        <v>37.8797</v>
      </c>
      <c r="N106" s="17">
        <f>Test!D416</f>
        <v>45.154800000000002</v>
      </c>
      <c r="O106" s="17">
        <f>Test!E416</f>
        <v>46.947699999999998</v>
      </c>
      <c r="P106" s="17">
        <f>Test!F416</f>
        <v>6083.95104885</v>
      </c>
      <c r="Q106" s="17">
        <f>Test!G416</f>
        <v>12.078322887400001</v>
      </c>
      <c r="R106" s="18">
        <f t="shared" si="9"/>
        <v>1.6899864024583333</v>
      </c>
      <c r="S106" s="17">
        <f t="shared" si="10"/>
        <v>1.044415606669993</v>
      </c>
      <c r="T106" s="17">
        <f t="shared" si="11"/>
        <v>1.0504648717637033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10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11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12</v>
      </c>
      <c r="I109" s="48">
        <f>GEOMEAN(I27:I46)</f>
        <v>63.152857295253476</v>
      </c>
      <c r="J109" s="48">
        <f>GEOMEAN(J27:J46)</f>
        <v>18.004606737659508</v>
      </c>
      <c r="Q109" s="48">
        <f>GEOMEAN(Q27:Q46)</f>
        <v>61.448563743841909</v>
      </c>
      <c r="R109" s="48">
        <f>GEOMEAN(R27:R46)</f>
        <v>17.694994541337355</v>
      </c>
      <c r="S109" s="48">
        <f>GEOMEAN(S27:S46)</f>
        <v>0.98280372346736422</v>
      </c>
      <c r="T109" s="48">
        <f>GEOMEAN(T27:T46)</f>
        <v>0.97301319964916833</v>
      </c>
      <c r="V109" s="33">
        <f t="shared" ref="V109:AA109" si="12">AVERAGE(V27:V46)</f>
        <v>-5.0685508270476019E-7</v>
      </c>
      <c r="W109" s="37">
        <f t="shared" si="12"/>
        <v>-4.4467482374077605E-7</v>
      </c>
      <c r="X109" s="37">
        <f t="shared" si="12"/>
        <v>-4.5643255941474337E-7</v>
      </c>
      <c r="Y109" s="33">
        <f t="shared" si="12"/>
        <v>-5.0735646337507492E-7</v>
      </c>
      <c r="Z109" s="37">
        <f t="shared" si="12"/>
        <v>-5.0722943203407309E-7</v>
      </c>
      <c r="AA109" s="38">
        <f t="shared" si="12"/>
        <v>-3.1589868130232903E-7</v>
      </c>
    </row>
    <row r="110" spans="1:27" x14ac:dyDescent="0.2">
      <c r="B110" s="15" t="s">
        <v>13</v>
      </c>
      <c r="I110" s="48">
        <f>GEOMEAN(I47:I62)</f>
        <v>12.016917479827216</v>
      </c>
      <c r="J110" s="48">
        <f>GEOMEAN(J47:J62)</f>
        <v>3.57945852009441</v>
      </c>
      <c r="Q110" s="48">
        <f>GEOMEAN(Q47:Q62)</f>
        <v>11.152097057969542</v>
      </c>
      <c r="R110" s="48">
        <f>GEOMEAN(R47:R62)</f>
        <v>3.5216078735148635</v>
      </c>
      <c r="S110" s="48">
        <f>GEOMEAN(S47:S62)</f>
        <v>0.98383815701319521</v>
      </c>
      <c r="T110" s="48">
        <f>GEOMEAN(T47:T62)</f>
        <v>0.92803308974123799</v>
      </c>
      <c r="V110" s="33">
        <f t="shared" ref="V110:AA110" si="13">AVERAGE(V47:V62)</f>
        <v>-1.383193723836218E-6</v>
      </c>
      <c r="W110" s="37">
        <f t="shared" si="13"/>
        <v>-1.236606145704755E-6</v>
      </c>
      <c r="X110" s="37">
        <f t="shared" si="13"/>
        <v>-1.232060720807171E-6</v>
      </c>
      <c r="Y110" s="33">
        <f t="shared" si="13"/>
        <v>-1.3904086486327127E-6</v>
      </c>
      <c r="Z110" s="37">
        <f t="shared" si="13"/>
        <v>-1.2759522034222481E-6</v>
      </c>
      <c r="AA110" s="38">
        <f t="shared" si="13"/>
        <v>-1.2690872598364322E-6</v>
      </c>
    </row>
    <row r="111" spans="1:27" x14ac:dyDescent="0.2">
      <c r="B111" s="15" t="s">
        <v>17</v>
      </c>
      <c r="I111" s="48">
        <f>GEOMEAN(I63:I78)</f>
        <v>0.17254895985976232</v>
      </c>
      <c r="J111" s="48">
        <f>GEOMEAN(J63:J78)</f>
        <v>3.6181386208890318E-2</v>
      </c>
      <c r="Q111" s="48">
        <f>GEOMEAN(Q63:Q78)</f>
        <v>0.16222928414453722</v>
      </c>
      <c r="R111" s="48">
        <f>GEOMEAN(R63:R78)</f>
        <v>3.5009599249449186E-2</v>
      </c>
      <c r="S111" s="48">
        <f>GEOMEAN(S63:S78)</f>
        <v>0.96761354159633584</v>
      </c>
      <c r="T111" s="48">
        <f>GEOMEAN(T63:T78)</f>
        <v>0.94019276775929383</v>
      </c>
      <c r="V111" s="33">
        <f t="shared" ref="V111:AA111" si="14">AVERAGE(V63:V78)</f>
        <v>-2.6337886225655804E-3</v>
      </c>
      <c r="W111" s="37">
        <f t="shared" si="14"/>
        <v>5.8344925573445283E-3</v>
      </c>
      <c r="X111" s="37">
        <f t="shared" si="14"/>
        <v>-5.0933316431903131E-4</v>
      </c>
      <c r="Y111" s="33">
        <f t="shared" si="14"/>
        <v>-2.8062241895042694E-3</v>
      </c>
      <c r="Z111" s="37">
        <f t="shared" si="14"/>
        <v>4.533001917732038E-3</v>
      </c>
      <c r="AA111" s="38">
        <f t="shared" si="14"/>
        <v>-7.7583845340853386E-4</v>
      </c>
    </row>
    <row r="112" spans="1:27" x14ac:dyDescent="0.2">
      <c r="B112" s="15" t="s">
        <v>14</v>
      </c>
      <c r="I112" s="48">
        <f>GEOMEAN(I79:I90)</f>
        <v>16.381929067781972</v>
      </c>
      <c r="J112" s="48">
        <f>GEOMEAN(J79:J90)</f>
        <v>2.8996202605899031</v>
      </c>
      <c r="Q112" s="48">
        <f>GEOMEAN(Q79:Q90)</f>
        <v>15.935268389597066</v>
      </c>
      <c r="R112" s="48">
        <f>GEOMEAN(R79:R90)</f>
        <v>2.9166115882676995</v>
      </c>
      <c r="S112" s="48">
        <f>GEOMEAN(S79:S90)</f>
        <v>1.0058598458248944</v>
      </c>
      <c r="T112" s="48">
        <f>GEOMEAN(T79:T90)</f>
        <v>0.97273454937225046</v>
      </c>
      <c r="V112" s="33">
        <f t="shared" ref="V112:AA112" si="15">AVERAGE(V79:V88)</f>
        <v>-5.7219966802894246E-6</v>
      </c>
      <c r="W112" s="37">
        <f t="shared" si="15"/>
        <v>-4.8711611942605275E-6</v>
      </c>
      <c r="X112" s="37">
        <f t="shared" si="15"/>
        <v>-5.0155167536184804E-6</v>
      </c>
      <c r="Y112" s="33">
        <f t="shared" si="15"/>
        <v>-5.7142371774343559E-6</v>
      </c>
      <c r="Z112" s="37">
        <f t="shared" si="15"/>
        <v>-4.8964393055683786E-6</v>
      </c>
      <c r="AA112" s="38">
        <f t="shared" si="15"/>
        <v>-5.0527764863620801E-6</v>
      </c>
    </row>
    <row r="113" spans="1:27" ht="12.75" customHeight="1" thickBot="1" x14ac:dyDescent="0.25">
      <c r="B113" s="15" t="s">
        <v>103</v>
      </c>
      <c r="I113" s="48">
        <f>GEOMEAN(I91:I106)</f>
        <v>14.602943864217218</v>
      </c>
      <c r="J113" s="48">
        <f>GEOMEAN(J91:J106)</f>
        <v>2.8705386393786894</v>
      </c>
      <c r="Q113" s="48">
        <f>GEOMEAN(Q91:Q106)</f>
        <v>13.97649847976472</v>
      </c>
      <c r="R113" s="48">
        <f>GEOMEAN(R91:R106)</f>
        <v>2.8566884373313952</v>
      </c>
      <c r="S113" s="48">
        <f>GEOMEAN(S91:S106)</f>
        <v>0.99517505117078242</v>
      </c>
      <c r="T113" s="48">
        <f>GEOMEAN(T91:T106)</f>
        <v>0.95710143171970086</v>
      </c>
      <c r="V113" s="33">
        <f t="shared" ref="V113:AA113" si="16">AVERAGE(V91:V106)</f>
        <v>-3.5230058012813981E-6</v>
      </c>
      <c r="W113" s="37">
        <f t="shared" si="16"/>
        <v>-3.0889475722273296E-6</v>
      </c>
      <c r="X113" s="37">
        <f t="shared" si="16"/>
        <v>-3.0660741019150617E-6</v>
      </c>
      <c r="Y113" s="33">
        <f t="shared" si="16"/>
        <v>-3.5246172539749043E-6</v>
      </c>
      <c r="Z113" s="37">
        <f t="shared" si="16"/>
        <v>-3.1900250407335129E-6</v>
      </c>
      <c r="AA113" s="38">
        <f t="shared" si="16"/>
        <v>-3.1489070241308426E-6</v>
      </c>
    </row>
    <row r="114" spans="1:27" ht="12.75" customHeight="1" thickBot="1" x14ac:dyDescent="0.25">
      <c r="A114" s="1"/>
      <c r="B114" s="2" t="s">
        <v>104</v>
      </c>
      <c r="C114" s="2"/>
      <c r="D114" s="2"/>
      <c r="E114" s="2"/>
      <c r="F114" s="2"/>
      <c r="G114" s="2"/>
      <c r="H114" s="2"/>
      <c r="I114" s="50">
        <f>GEOMEAN(I3:I62,I79:I90)</f>
        <v>25.923046477293621</v>
      </c>
      <c r="J114" s="50">
        <f>GEOMEAN(J3:J62,J79:J90)</f>
        <v>6.6568316829224612</v>
      </c>
      <c r="K114" s="2"/>
      <c r="L114" s="2"/>
      <c r="M114" s="2"/>
      <c r="N114" s="2"/>
      <c r="O114" s="2"/>
      <c r="P114" s="2"/>
      <c r="Q114" s="50">
        <f>GEOMEAN(Q3:Q62,Q79:Q90)</f>
        <v>24.826866901707234</v>
      </c>
      <c r="R114" s="50">
        <f>GEOMEAN(R3:R62,R79:R90)</f>
        <v>6.5827040226253963</v>
      </c>
      <c r="S114" s="50">
        <f>GEOMEAN(S3:S62,S79:S90)</f>
        <v>0.98886442322295254</v>
      </c>
      <c r="T114" s="50">
        <f>GEOMEAN(T3:T62,T79:T90)</f>
        <v>0.95771409133773888</v>
      </c>
      <c r="U114" s="2"/>
      <c r="V114" s="34">
        <f t="shared" ref="V114:AA114" si="17">AVERAGE(V3:V62,V79:V90)</f>
        <v>-2.102753362478079E-6</v>
      </c>
      <c r="W114" s="39">
        <f t="shared" si="17"/>
        <v>-1.8152735236920403E-6</v>
      </c>
      <c r="X114" s="39">
        <f t="shared" si="17"/>
        <v>-1.85474632842982E-6</v>
      </c>
      <c r="Y114" s="34">
        <f t="shared" si="17"/>
        <v>-2.1034273703091078E-6</v>
      </c>
      <c r="Z114" s="39">
        <f t="shared" si="17"/>
        <v>-1.8607728242137078E-6</v>
      </c>
      <c r="AA114" s="40">
        <f t="shared" si="17"/>
        <v>-1.8178476587453012E-6</v>
      </c>
    </row>
    <row r="115" spans="1:27" x14ac:dyDescent="0.2">
      <c r="B115" s="15" t="s">
        <v>105</v>
      </c>
      <c r="I115" s="81">
        <f>GEOMEAN(I3:I106)</f>
        <v>8.4816857060355169</v>
      </c>
      <c r="J115" s="81">
        <f>GEOMEAN(J3:J106)</f>
        <v>1.9826692244855231</v>
      </c>
      <c r="Q115" s="81">
        <f>GEOMEAN(Q3:Q106)</f>
        <v>8.0920522115509375</v>
      </c>
      <c r="R115" s="81">
        <f>GEOMEAN(R3:R106)</f>
        <v>1.9545761732998577</v>
      </c>
      <c r="S115" s="81"/>
      <c r="T115" s="81"/>
    </row>
    <row r="116" spans="1:27" x14ac:dyDescent="0.2">
      <c r="B116" s="15" t="s">
        <v>106</v>
      </c>
      <c r="Q116" s="19">
        <f>Q115/I115</f>
        <v>0.95406178583022494</v>
      </c>
      <c r="R116" s="19">
        <f>R115/J115</f>
        <v>0.98583069185786387</v>
      </c>
      <c r="S116" s="19"/>
      <c r="T116" s="19"/>
    </row>
    <row r="117" spans="1:27" x14ac:dyDescent="0.2">
      <c r="B117" s="15" t="s">
        <v>107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8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416"/>
  <sheetViews>
    <sheetView workbookViewId="0">
      <selection activeCell="B1" sqref="B1"/>
    </sheetView>
  </sheetViews>
  <sheetFormatPr defaultColWidth="9" defaultRowHeight="14.25" x14ac:dyDescent="0.15"/>
  <cols>
    <col min="1" max="1" width="57.625" style="21" customWidth="1"/>
  </cols>
  <sheetData>
    <row r="1" spans="1:7" x14ac:dyDescent="0.15">
      <c r="A1" t="s">
        <v>111</v>
      </c>
      <c r="B1">
        <v>18716.236199999999</v>
      </c>
      <c r="C1">
        <v>41.749099999999999</v>
      </c>
      <c r="D1">
        <v>49.513800000000003</v>
      </c>
      <c r="E1">
        <v>48.330800000000004</v>
      </c>
      <c r="F1">
        <v>80003.270338200004</v>
      </c>
      <c r="G1">
        <v>38.066849947000001</v>
      </c>
    </row>
    <row r="2" spans="1:7" x14ac:dyDescent="0.15">
      <c r="A2" t="s">
        <v>112</v>
      </c>
      <c r="B2">
        <v>5692.1854000000003</v>
      </c>
      <c r="C2">
        <v>40.234900000000003</v>
      </c>
      <c r="D2">
        <v>48.504600000000003</v>
      </c>
      <c r="E2">
        <v>46.674500000000002</v>
      </c>
      <c r="F2">
        <v>30051.940204899998</v>
      </c>
      <c r="G2">
        <v>29.842895984599998</v>
      </c>
    </row>
    <row r="3" spans="1:7" x14ac:dyDescent="0.15">
      <c r="A3" t="s">
        <v>113</v>
      </c>
      <c r="B3">
        <v>3174.6957000000002</v>
      </c>
      <c r="C3">
        <v>39.412300000000002</v>
      </c>
      <c r="D3">
        <v>47.492899999999999</v>
      </c>
      <c r="E3">
        <v>45.246200000000002</v>
      </c>
      <c r="F3">
        <v>10266.7471766</v>
      </c>
      <c r="G3">
        <v>26.704063892400001</v>
      </c>
    </row>
    <row r="4" spans="1:7" x14ac:dyDescent="0.15">
      <c r="A4" t="s">
        <v>114</v>
      </c>
      <c r="B4">
        <v>1898.4519</v>
      </c>
      <c r="C4">
        <v>38.230800000000002</v>
      </c>
      <c r="D4">
        <v>46.530500000000004</v>
      </c>
      <c r="E4">
        <v>43.917499999999997</v>
      </c>
      <c r="F4">
        <v>3514.6739492400002</v>
      </c>
      <c r="G4">
        <v>23.6479208469</v>
      </c>
    </row>
    <row r="5" spans="1:7" x14ac:dyDescent="0.15">
      <c r="A5" t="s">
        <v>115</v>
      </c>
      <c r="B5">
        <v>15378.51</v>
      </c>
      <c r="C5">
        <v>45.169899999999998</v>
      </c>
      <c r="D5">
        <v>49.698900000000002</v>
      </c>
      <c r="E5">
        <v>50.445599999999999</v>
      </c>
      <c r="F5">
        <v>47464.240342999998</v>
      </c>
      <c r="G5">
        <v>35.700580835300002</v>
      </c>
    </row>
    <row r="6" spans="1:7" x14ac:dyDescent="0.15">
      <c r="A6" t="s">
        <v>116</v>
      </c>
      <c r="B6">
        <v>8790.6237000000001</v>
      </c>
      <c r="C6">
        <v>43.6982</v>
      </c>
      <c r="D6">
        <v>47.5443</v>
      </c>
      <c r="E6">
        <v>48.156100000000002</v>
      </c>
      <c r="F6">
        <v>21752.488772600002</v>
      </c>
      <c r="G6">
        <v>32.961524963400002</v>
      </c>
    </row>
    <row r="7" spans="1:7" x14ac:dyDescent="0.15">
      <c r="A7" t="s">
        <v>117</v>
      </c>
      <c r="B7">
        <v>5275.3783999999996</v>
      </c>
      <c r="C7">
        <v>41.918999999999997</v>
      </c>
      <c r="D7">
        <v>45.791499999999999</v>
      </c>
      <c r="E7">
        <v>46.238</v>
      </c>
      <c r="F7">
        <v>12457.228536799999</v>
      </c>
      <c r="G7">
        <v>29.366851091400001</v>
      </c>
    </row>
    <row r="8" spans="1:7" x14ac:dyDescent="0.15">
      <c r="A8" t="s">
        <v>118</v>
      </c>
      <c r="B8">
        <v>3150.1183999999998</v>
      </c>
      <c r="C8">
        <v>39.694600000000001</v>
      </c>
      <c r="D8">
        <v>44.419600000000003</v>
      </c>
      <c r="E8">
        <v>44.711100000000002</v>
      </c>
      <c r="F8">
        <v>6087.6561565399998</v>
      </c>
      <c r="G8">
        <v>26.559881925599999</v>
      </c>
    </row>
    <row r="9" spans="1:7" x14ac:dyDescent="0.15">
      <c r="A9" t="s">
        <v>119</v>
      </c>
      <c r="B9">
        <v>21433.47</v>
      </c>
      <c r="C9">
        <v>43.234900000000003</v>
      </c>
      <c r="D9">
        <v>45.887799999999999</v>
      </c>
      <c r="E9">
        <v>43.726100000000002</v>
      </c>
      <c r="F9">
        <v>80178.403385199999</v>
      </c>
      <c r="G9">
        <v>44.913727998699997</v>
      </c>
    </row>
    <row r="10" spans="1:7" x14ac:dyDescent="0.15">
      <c r="A10" t="s">
        <v>120</v>
      </c>
      <c r="B10">
        <v>8937.7870999999996</v>
      </c>
      <c r="C10">
        <v>39.623199999999997</v>
      </c>
      <c r="D10">
        <v>42.035600000000002</v>
      </c>
      <c r="E10">
        <v>41.6708</v>
      </c>
      <c r="F10">
        <v>48606.231670000001</v>
      </c>
      <c r="G10">
        <v>38.315755128900001</v>
      </c>
    </row>
    <row r="11" spans="1:7" x14ac:dyDescent="0.15">
      <c r="A11" t="s">
        <v>121</v>
      </c>
      <c r="B11">
        <v>3252.9544999999998</v>
      </c>
      <c r="C11">
        <v>37.311399999999999</v>
      </c>
      <c r="D11">
        <v>39.412700000000001</v>
      </c>
      <c r="E11">
        <v>40.313899999999997</v>
      </c>
      <c r="F11">
        <v>25442.1209872</v>
      </c>
      <c r="G11">
        <v>28.1141359806</v>
      </c>
    </row>
    <row r="12" spans="1:7" x14ac:dyDescent="0.15">
      <c r="A12" t="s">
        <v>122</v>
      </c>
      <c r="B12">
        <v>1754.3045</v>
      </c>
      <c r="C12">
        <v>35.940899999999999</v>
      </c>
      <c r="D12">
        <v>37.466999999999999</v>
      </c>
      <c r="E12">
        <v>39.154000000000003</v>
      </c>
      <c r="F12">
        <v>10546.2651362</v>
      </c>
      <c r="G12">
        <v>23.920691013300001</v>
      </c>
    </row>
    <row r="13" spans="1:7" x14ac:dyDescent="0.15">
      <c r="A13" t="s">
        <v>123</v>
      </c>
      <c r="B13">
        <v>33929.606800000001</v>
      </c>
      <c r="C13">
        <v>42.419800000000002</v>
      </c>
      <c r="D13">
        <v>42.516300000000001</v>
      </c>
      <c r="E13">
        <v>44.122399999999999</v>
      </c>
      <c r="F13">
        <v>84447.162260900004</v>
      </c>
      <c r="G13">
        <v>46.068279027899997</v>
      </c>
    </row>
    <row r="14" spans="1:7" x14ac:dyDescent="0.15">
      <c r="A14" t="s">
        <v>124</v>
      </c>
      <c r="B14">
        <v>11553.8889</v>
      </c>
      <c r="C14">
        <v>39.894100000000002</v>
      </c>
      <c r="D14">
        <v>41.402999999999999</v>
      </c>
      <c r="E14">
        <v>42.4666</v>
      </c>
      <c r="F14">
        <v>45068.450664999997</v>
      </c>
      <c r="G14">
        <v>35.163889169699999</v>
      </c>
    </row>
    <row r="15" spans="1:7" x14ac:dyDescent="0.15">
      <c r="A15" t="s">
        <v>125</v>
      </c>
      <c r="B15">
        <v>6676.7968000000001</v>
      </c>
      <c r="C15">
        <v>38.529499999999999</v>
      </c>
      <c r="D15">
        <v>40.626399999999997</v>
      </c>
      <c r="E15">
        <v>41.059899999999999</v>
      </c>
      <c r="F15">
        <v>21634.015425900001</v>
      </c>
      <c r="G15">
        <v>30.0716760159</v>
      </c>
    </row>
    <row r="16" spans="1:7" x14ac:dyDescent="0.15">
      <c r="A16" t="s">
        <v>126</v>
      </c>
      <c r="B16">
        <v>3987.5432000000001</v>
      </c>
      <c r="C16">
        <v>36.663699999999999</v>
      </c>
      <c r="D16">
        <v>39.900300000000001</v>
      </c>
      <c r="E16">
        <v>39.830300000000001</v>
      </c>
      <c r="F16">
        <v>10631.4555151</v>
      </c>
      <c r="G16">
        <v>27.051217079200001</v>
      </c>
    </row>
    <row r="17" spans="1:7" x14ac:dyDescent="0.15">
      <c r="A17" t="s">
        <v>127</v>
      </c>
      <c r="B17">
        <v>62966.9542</v>
      </c>
      <c r="C17">
        <v>41.378500000000003</v>
      </c>
      <c r="D17">
        <v>46.072200000000002</v>
      </c>
      <c r="E17">
        <v>44.062199999999997</v>
      </c>
      <c r="F17">
        <v>124066.458547</v>
      </c>
      <c r="G17">
        <v>54.512616157499998</v>
      </c>
    </row>
    <row r="18" spans="1:7" x14ac:dyDescent="0.15">
      <c r="A18" t="s">
        <v>128</v>
      </c>
      <c r="B18">
        <v>11917.5363</v>
      </c>
      <c r="C18">
        <v>37.770899999999997</v>
      </c>
      <c r="D18">
        <v>44.832500000000003</v>
      </c>
      <c r="E18">
        <v>42.441099999999999</v>
      </c>
      <c r="F18">
        <v>60105.864838699999</v>
      </c>
      <c r="G18">
        <v>33.9081869125</v>
      </c>
    </row>
    <row r="19" spans="1:7" x14ac:dyDescent="0.15">
      <c r="A19" t="s">
        <v>129</v>
      </c>
      <c r="B19">
        <v>6395.0415999999996</v>
      </c>
      <c r="C19">
        <v>36.734200000000001</v>
      </c>
      <c r="D19">
        <v>43.776800000000001</v>
      </c>
      <c r="E19">
        <v>41.1404</v>
      </c>
      <c r="F19">
        <v>25970.673244000001</v>
      </c>
      <c r="G19">
        <v>29.384137153600001</v>
      </c>
    </row>
    <row r="20" spans="1:7" x14ac:dyDescent="0.15">
      <c r="A20" t="s">
        <v>130</v>
      </c>
      <c r="B20">
        <v>3566.0479</v>
      </c>
      <c r="C20">
        <v>35.285200000000003</v>
      </c>
      <c r="D20">
        <v>42.874499999999998</v>
      </c>
      <c r="E20">
        <v>40.152099999999997</v>
      </c>
      <c r="F20">
        <v>11669.2465565</v>
      </c>
      <c r="G20">
        <v>25.3334469795</v>
      </c>
    </row>
    <row r="21" spans="1:7" x14ac:dyDescent="0.15">
      <c r="A21" t="s">
        <v>131</v>
      </c>
      <c r="B21">
        <v>49553.126300000004</v>
      </c>
      <c r="C21">
        <v>46.429099999999998</v>
      </c>
      <c r="D21">
        <v>40.703800000000001</v>
      </c>
      <c r="E21">
        <v>41.137500000000003</v>
      </c>
      <c r="F21">
        <v>81812.190383099995</v>
      </c>
      <c r="G21">
        <v>52.790099144000003</v>
      </c>
    </row>
    <row r="22" spans="1:7" x14ac:dyDescent="0.15">
      <c r="A22" t="s">
        <v>132</v>
      </c>
      <c r="B22">
        <v>28029.857899999999</v>
      </c>
      <c r="C22">
        <v>42.5364</v>
      </c>
      <c r="D22">
        <v>36.968000000000004</v>
      </c>
      <c r="E22">
        <v>37.836100000000002</v>
      </c>
      <c r="F22">
        <v>56177.173243500001</v>
      </c>
      <c r="G22">
        <v>46.5376729965</v>
      </c>
    </row>
    <row r="23" spans="1:7" x14ac:dyDescent="0.15">
      <c r="A23" t="s">
        <v>133</v>
      </c>
      <c r="B23">
        <v>15578.617099999999</v>
      </c>
      <c r="C23">
        <v>38.830100000000002</v>
      </c>
      <c r="D23">
        <v>34.429499999999997</v>
      </c>
      <c r="E23">
        <v>35.556899999999999</v>
      </c>
      <c r="F23">
        <v>39001.214288199997</v>
      </c>
      <c r="G23">
        <v>39.829174995400003</v>
      </c>
    </row>
    <row r="24" spans="1:7" x14ac:dyDescent="0.15">
      <c r="A24" t="s">
        <v>134</v>
      </c>
      <c r="B24">
        <v>8483.1934000000001</v>
      </c>
      <c r="C24">
        <v>35.3977</v>
      </c>
      <c r="D24">
        <v>32.697099999999999</v>
      </c>
      <c r="E24">
        <v>34.020099999999999</v>
      </c>
      <c r="F24">
        <v>23437.958900000001</v>
      </c>
      <c r="G24">
        <v>34.1324360371</v>
      </c>
    </row>
    <row r="25" spans="1:7" x14ac:dyDescent="0.15">
      <c r="A25" t="s">
        <v>135</v>
      </c>
      <c r="B25">
        <v>10306.184800000001</v>
      </c>
      <c r="C25">
        <v>42.8782</v>
      </c>
      <c r="D25">
        <v>45.1113</v>
      </c>
      <c r="E25">
        <v>45.727200000000003</v>
      </c>
      <c r="F25">
        <v>44214.972228799998</v>
      </c>
      <c r="G25">
        <v>22.7213580608</v>
      </c>
    </row>
    <row r="26" spans="1:7" x14ac:dyDescent="0.15">
      <c r="A26" t="s">
        <v>136</v>
      </c>
      <c r="B26">
        <v>5547.6607999999997</v>
      </c>
      <c r="C26">
        <v>40.2166</v>
      </c>
      <c r="D26">
        <v>42.966299999999997</v>
      </c>
      <c r="E26">
        <v>43.914400000000001</v>
      </c>
      <c r="F26">
        <v>26417.944782999999</v>
      </c>
      <c r="G26">
        <v>19.126315832100001</v>
      </c>
    </row>
    <row r="27" spans="1:7" x14ac:dyDescent="0.15">
      <c r="A27" t="s">
        <v>137</v>
      </c>
      <c r="B27">
        <v>3102.8888000000002</v>
      </c>
      <c r="C27">
        <v>37.729900000000001</v>
      </c>
      <c r="D27">
        <v>41.455100000000002</v>
      </c>
      <c r="E27">
        <v>42.450800000000001</v>
      </c>
      <c r="F27">
        <v>15648.2311931</v>
      </c>
      <c r="G27">
        <v>18.741214036900001</v>
      </c>
    </row>
    <row r="28" spans="1:7" x14ac:dyDescent="0.15">
      <c r="A28" t="s">
        <v>138</v>
      </c>
      <c r="B28">
        <v>1653.8320000000001</v>
      </c>
      <c r="C28">
        <v>35.127899999999997</v>
      </c>
      <c r="D28">
        <v>40.375100000000003</v>
      </c>
      <c r="E28">
        <v>41.335099999999997</v>
      </c>
      <c r="F28">
        <v>8541.7306818899997</v>
      </c>
      <c r="G28">
        <v>14.7159650326</v>
      </c>
    </row>
    <row r="29" spans="1:7" x14ac:dyDescent="0.15">
      <c r="A29" t="s">
        <v>139</v>
      </c>
      <c r="B29">
        <v>6019.4175999999998</v>
      </c>
      <c r="C29">
        <v>46.006599999999999</v>
      </c>
      <c r="D29">
        <v>48.134599999999999</v>
      </c>
      <c r="E29">
        <v>49.392899999999997</v>
      </c>
      <c r="F29">
        <v>25979.6405854</v>
      </c>
      <c r="G29">
        <v>20.3074331284</v>
      </c>
    </row>
    <row r="30" spans="1:7" x14ac:dyDescent="0.15">
      <c r="A30" t="s">
        <v>140</v>
      </c>
      <c r="B30">
        <v>3490.3256000000001</v>
      </c>
      <c r="C30">
        <v>43.097999999999999</v>
      </c>
      <c r="D30">
        <v>45.714700000000001</v>
      </c>
      <c r="E30">
        <v>46.792999999999999</v>
      </c>
      <c r="F30">
        <v>16305.828732</v>
      </c>
      <c r="G30">
        <v>17.695698976500001</v>
      </c>
    </row>
    <row r="31" spans="1:7" x14ac:dyDescent="0.15">
      <c r="A31" t="s">
        <v>141</v>
      </c>
      <c r="B31">
        <v>1966.2056</v>
      </c>
      <c r="C31">
        <v>40.095599999999997</v>
      </c>
      <c r="D31">
        <v>43.906300000000002</v>
      </c>
      <c r="E31">
        <v>44.784700000000001</v>
      </c>
      <c r="F31">
        <v>10373.338090200001</v>
      </c>
      <c r="G31">
        <v>16.1814861298</v>
      </c>
    </row>
    <row r="32" spans="1:7" x14ac:dyDescent="0.15">
      <c r="A32" t="s">
        <v>142</v>
      </c>
      <c r="B32">
        <v>1076.7736</v>
      </c>
      <c r="C32">
        <v>37.110300000000002</v>
      </c>
      <c r="D32">
        <v>42.651699999999998</v>
      </c>
      <c r="E32">
        <v>43.241900000000001</v>
      </c>
      <c r="F32">
        <v>5513.8049807500001</v>
      </c>
      <c r="G32">
        <v>13.7033858299</v>
      </c>
    </row>
    <row r="33" spans="1:7" x14ac:dyDescent="0.15">
      <c r="A33" t="s">
        <v>143</v>
      </c>
      <c r="B33">
        <v>12588.0849</v>
      </c>
      <c r="C33">
        <v>41.113500000000002</v>
      </c>
      <c r="D33">
        <v>41.688000000000002</v>
      </c>
      <c r="E33">
        <v>44.309100000000001</v>
      </c>
      <c r="F33">
        <v>49866.000126400002</v>
      </c>
      <c r="G33">
        <v>23.434611082100002</v>
      </c>
    </row>
    <row r="34" spans="1:7" x14ac:dyDescent="0.15">
      <c r="A34" t="s">
        <v>144</v>
      </c>
      <c r="B34">
        <v>5499.7372999999998</v>
      </c>
      <c r="C34">
        <v>38.236899999999999</v>
      </c>
      <c r="D34">
        <v>39.571399999999997</v>
      </c>
      <c r="E34">
        <v>42.311500000000002</v>
      </c>
      <c r="F34">
        <v>30449.840260699999</v>
      </c>
      <c r="G34">
        <v>17.9625279903</v>
      </c>
    </row>
    <row r="35" spans="1:7" x14ac:dyDescent="0.15">
      <c r="A35" t="s">
        <v>145</v>
      </c>
      <c r="B35">
        <v>2973.3762000000002</v>
      </c>
      <c r="C35">
        <v>36.089399999999998</v>
      </c>
      <c r="D35">
        <v>38.625300000000003</v>
      </c>
      <c r="E35">
        <v>40.730899999999998</v>
      </c>
      <c r="F35">
        <v>17619.571263999998</v>
      </c>
      <c r="G35">
        <v>15.270685911199999</v>
      </c>
    </row>
    <row r="36" spans="1:7" x14ac:dyDescent="0.15">
      <c r="A36" t="s">
        <v>146</v>
      </c>
      <c r="B36">
        <v>1603.7143000000001</v>
      </c>
      <c r="C36">
        <v>33.707099999999997</v>
      </c>
      <c r="D36">
        <v>37.854300000000002</v>
      </c>
      <c r="E36">
        <v>39.521599999999999</v>
      </c>
      <c r="F36">
        <v>9629.8300085299998</v>
      </c>
      <c r="G36">
        <v>12.773324966400001</v>
      </c>
    </row>
    <row r="37" spans="1:7" x14ac:dyDescent="0.15">
      <c r="A37" t="s">
        <v>147</v>
      </c>
      <c r="B37">
        <v>7974.2968000000001</v>
      </c>
      <c r="C37">
        <v>41.4191</v>
      </c>
      <c r="D37">
        <v>44.644500000000001</v>
      </c>
      <c r="E37">
        <v>46.535899999999998</v>
      </c>
      <c r="F37">
        <v>39690.008478199998</v>
      </c>
      <c r="G37">
        <v>20.030662059800001</v>
      </c>
    </row>
    <row r="38" spans="1:7" x14ac:dyDescent="0.15">
      <c r="A38" t="s">
        <v>148</v>
      </c>
      <c r="B38">
        <v>3268.9683</v>
      </c>
      <c r="C38">
        <v>39.005600000000001</v>
      </c>
      <c r="D38">
        <v>43.322400000000002</v>
      </c>
      <c r="E38">
        <v>44.512099999999997</v>
      </c>
      <c r="F38">
        <v>22944.0962086</v>
      </c>
      <c r="G38">
        <v>15.7341938019</v>
      </c>
    </row>
    <row r="39" spans="1:7" x14ac:dyDescent="0.15">
      <c r="A39" t="s">
        <v>149</v>
      </c>
      <c r="B39">
        <v>1676.2897</v>
      </c>
      <c r="C39">
        <v>37.306100000000001</v>
      </c>
      <c r="D39">
        <v>42.137</v>
      </c>
      <c r="E39">
        <v>42.753900000000002</v>
      </c>
      <c r="F39">
        <v>11251.091253299999</v>
      </c>
      <c r="G39">
        <v>13.2995491028</v>
      </c>
    </row>
    <row r="40" spans="1:7" x14ac:dyDescent="0.15">
      <c r="A40" t="s">
        <v>150</v>
      </c>
      <c r="B40">
        <v>934.63329999999996</v>
      </c>
      <c r="C40">
        <v>35.433599999999998</v>
      </c>
      <c r="D40">
        <v>41.123699999999999</v>
      </c>
      <c r="E40">
        <v>41.316299999999998</v>
      </c>
      <c r="F40">
        <v>5358.3621320700004</v>
      </c>
      <c r="G40">
        <v>11.473604917499999</v>
      </c>
    </row>
    <row r="41" spans="1:7" x14ac:dyDescent="0.15">
      <c r="A41" t="s">
        <v>151</v>
      </c>
      <c r="B41">
        <v>21305.599999999999</v>
      </c>
      <c r="C41">
        <v>42.406199999999998</v>
      </c>
      <c r="D41">
        <v>42.801900000000003</v>
      </c>
      <c r="E41">
        <v>44.631999999999998</v>
      </c>
      <c r="F41">
        <v>34780.461373099999</v>
      </c>
      <c r="G41">
        <v>29.504936933500002</v>
      </c>
    </row>
    <row r="42" spans="1:7" x14ac:dyDescent="0.15">
      <c r="A42" t="s">
        <v>152</v>
      </c>
      <c r="B42">
        <v>9139.6823999999997</v>
      </c>
      <c r="C42">
        <v>37.323999999999998</v>
      </c>
      <c r="D42">
        <v>41.021000000000001</v>
      </c>
      <c r="E42">
        <v>43.276499999999999</v>
      </c>
      <c r="F42">
        <v>39153.024084600002</v>
      </c>
      <c r="G42">
        <v>21.944213867199998</v>
      </c>
    </row>
    <row r="43" spans="1:7" x14ac:dyDescent="0.15">
      <c r="A43" t="s">
        <v>153</v>
      </c>
      <c r="B43">
        <v>4590.5824000000002</v>
      </c>
      <c r="C43">
        <v>34.846600000000002</v>
      </c>
      <c r="D43">
        <v>39.712000000000003</v>
      </c>
      <c r="E43">
        <v>42.260300000000001</v>
      </c>
      <c r="F43">
        <v>25121.731372099999</v>
      </c>
      <c r="G43">
        <v>19.2366220951</v>
      </c>
    </row>
    <row r="44" spans="1:7" x14ac:dyDescent="0.15">
      <c r="A44" t="s">
        <v>154</v>
      </c>
      <c r="B44">
        <v>2445.9056</v>
      </c>
      <c r="C44">
        <v>32.494100000000003</v>
      </c>
      <c r="D44">
        <v>38.7821</v>
      </c>
      <c r="E44">
        <v>41.500999999999998</v>
      </c>
      <c r="F44">
        <v>14826.0361183</v>
      </c>
      <c r="G44">
        <v>14.928467035300001</v>
      </c>
    </row>
    <row r="45" spans="1:7" x14ac:dyDescent="0.15">
      <c r="A45" t="s">
        <v>155</v>
      </c>
      <c r="B45">
        <v>2316.8753999999999</v>
      </c>
      <c r="C45">
        <v>42.359200000000001</v>
      </c>
      <c r="D45">
        <v>43.948399999999999</v>
      </c>
      <c r="E45">
        <v>44.741300000000003</v>
      </c>
      <c r="F45">
        <v>7192.9265251200004</v>
      </c>
      <c r="G45">
        <v>5.2284679412799999</v>
      </c>
    </row>
    <row r="46" spans="1:7" x14ac:dyDescent="0.15">
      <c r="A46" t="s">
        <v>156</v>
      </c>
      <c r="B46">
        <v>1241.2119</v>
      </c>
      <c r="C46">
        <v>38.942700000000002</v>
      </c>
      <c r="D46">
        <v>41.441000000000003</v>
      </c>
      <c r="E46">
        <v>41.986600000000003</v>
      </c>
      <c r="F46">
        <v>5454.7080986499996</v>
      </c>
      <c r="G46">
        <v>3.8876662254299998</v>
      </c>
    </row>
    <row r="47" spans="1:7" x14ac:dyDescent="0.15">
      <c r="A47" t="s">
        <v>157</v>
      </c>
      <c r="B47">
        <v>669.01110000000006</v>
      </c>
      <c r="C47">
        <v>35.973399999999998</v>
      </c>
      <c r="D47">
        <v>39.651800000000001</v>
      </c>
      <c r="E47">
        <v>40.024999999999999</v>
      </c>
      <c r="F47">
        <v>3669.1863079099999</v>
      </c>
      <c r="G47">
        <v>3.1916658878300002</v>
      </c>
    </row>
    <row r="48" spans="1:7" x14ac:dyDescent="0.15">
      <c r="A48" t="s">
        <v>158</v>
      </c>
      <c r="B48">
        <v>369.62139999999999</v>
      </c>
      <c r="C48">
        <v>33.2712</v>
      </c>
      <c r="D48">
        <v>38.215299999999999</v>
      </c>
      <c r="E48">
        <v>38.322499999999998</v>
      </c>
      <c r="F48">
        <v>2081.8256430599999</v>
      </c>
      <c r="G48">
        <v>2.6918120384200002</v>
      </c>
    </row>
    <row r="49" spans="1:7" x14ac:dyDescent="0.15">
      <c r="A49" t="s">
        <v>159</v>
      </c>
      <c r="B49">
        <v>2630.2127999999998</v>
      </c>
      <c r="C49">
        <v>42.290999999999997</v>
      </c>
      <c r="D49">
        <v>44.293999999999997</v>
      </c>
      <c r="E49">
        <v>45.967100000000002</v>
      </c>
      <c r="F49">
        <v>9577.7935888899992</v>
      </c>
      <c r="G49">
        <v>5.5438721180000003</v>
      </c>
    </row>
    <row r="50" spans="1:7" x14ac:dyDescent="0.15">
      <c r="A50" t="s">
        <v>160</v>
      </c>
      <c r="B50">
        <v>1577.08</v>
      </c>
      <c r="C50">
        <v>39.468899999999998</v>
      </c>
      <c r="D50">
        <v>42.135899999999999</v>
      </c>
      <c r="E50">
        <v>43.528700000000001</v>
      </c>
      <c r="F50">
        <v>6513.4594469100002</v>
      </c>
      <c r="G50">
        <v>4.4585139751399998</v>
      </c>
    </row>
    <row r="51" spans="1:7" x14ac:dyDescent="0.15">
      <c r="A51" t="s">
        <v>161</v>
      </c>
      <c r="B51">
        <v>928.11839999999995</v>
      </c>
      <c r="C51">
        <v>36.467100000000002</v>
      </c>
      <c r="D51">
        <v>40.459099999999999</v>
      </c>
      <c r="E51">
        <v>41.619199999999999</v>
      </c>
      <c r="F51">
        <v>4695.9022507700001</v>
      </c>
      <c r="G51">
        <v>3.7408828735399999</v>
      </c>
    </row>
    <row r="52" spans="1:7" x14ac:dyDescent="0.15">
      <c r="A52" t="s">
        <v>162</v>
      </c>
      <c r="B52">
        <v>527.50480000000005</v>
      </c>
      <c r="C52">
        <v>33.393999999999998</v>
      </c>
      <c r="D52">
        <v>39.142600000000002</v>
      </c>
      <c r="E52">
        <v>40.116100000000003</v>
      </c>
      <c r="F52">
        <v>3098.8543817999998</v>
      </c>
      <c r="G52">
        <v>3.21272182465</v>
      </c>
    </row>
    <row r="53" spans="1:7" x14ac:dyDescent="0.15">
      <c r="A53" t="s">
        <v>163</v>
      </c>
      <c r="B53">
        <v>5092.2975999999999</v>
      </c>
      <c r="C53">
        <v>41.438400000000001</v>
      </c>
      <c r="D53">
        <v>42.645400000000002</v>
      </c>
      <c r="E53">
        <v>43.719099999999997</v>
      </c>
      <c r="F53">
        <v>9884.8742582899995</v>
      </c>
      <c r="G53">
        <v>7.0764091014900004</v>
      </c>
    </row>
    <row r="54" spans="1:7" x14ac:dyDescent="0.15">
      <c r="A54" t="s">
        <v>164</v>
      </c>
      <c r="B54">
        <v>3155.1563000000001</v>
      </c>
      <c r="C54">
        <v>37.1999</v>
      </c>
      <c r="D54">
        <v>39.716900000000003</v>
      </c>
      <c r="E54">
        <v>40.600099999999998</v>
      </c>
      <c r="F54">
        <v>8180.5081732299996</v>
      </c>
      <c r="G54">
        <v>5.46561408043</v>
      </c>
    </row>
    <row r="55" spans="1:7" x14ac:dyDescent="0.15">
      <c r="A55" t="s">
        <v>165</v>
      </c>
      <c r="B55">
        <v>1886.6754000000001</v>
      </c>
      <c r="C55">
        <v>33.443100000000001</v>
      </c>
      <c r="D55">
        <v>37.769799999999996</v>
      </c>
      <c r="E55">
        <v>38.485799999999998</v>
      </c>
      <c r="F55">
        <v>6629.0934288500002</v>
      </c>
      <c r="G55">
        <v>4.4703040122999997</v>
      </c>
    </row>
    <row r="56" spans="1:7" x14ac:dyDescent="0.15">
      <c r="A56" t="s">
        <v>166</v>
      </c>
      <c r="B56">
        <v>1013.3611</v>
      </c>
      <c r="C56">
        <v>29.7606</v>
      </c>
      <c r="D56">
        <v>36.356200000000001</v>
      </c>
      <c r="E56">
        <v>36.970599999999997</v>
      </c>
      <c r="F56">
        <v>5092.2068135700001</v>
      </c>
      <c r="G56">
        <v>3.5016169547999998</v>
      </c>
    </row>
    <row r="57" spans="1:7" x14ac:dyDescent="0.15">
      <c r="A57" t="s">
        <v>167</v>
      </c>
      <c r="B57">
        <v>1736.0661</v>
      </c>
      <c r="C57">
        <v>42.747</v>
      </c>
      <c r="D57">
        <v>43.529200000000003</v>
      </c>
      <c r="E57">
        <v>44.380400000000002</v>
      </c>
      <c r="F57">
        <v>4964.9790308399997</v>
      </c>
      <c r="G57">
        <v>2.83942008018</v>
      </c>
    </row>
    <row r="58" spans="1:7" x14ac:dyDescent="0.15">
      <c r="A58" t="s">
        <v>168</v>
      </c>
      <c r="B58">
        <v>1040.5816</v>
      </c>
      <c r="C58">
        <v>39.366700000000002</v>
      </c>
      <c r="D58">
        <v>40.265300000000003</v>
      </c>
      <c r="E58">
        <v>41.729300000000002</v>
      </c>
      <c r="F58">
        <v>3578.0769460199999</v>
      </c>
      <c r="G58">
        <v>2.4019119739499999</v>
      </c>
    </row>
    <row r="59" spans="1:7" x14ac:dyDescent="0.15">
      <c r="A59" t="s">
        <v>169</v>
      </c>
      <c r="B59">
        <v>599.73469999999998</v>
      </c>
      <c r="C59">
        <v>36.003500000000003</v>
      </c>
      <c r="D59">
        <v>38.0304</v>
      </c>
      <c r="E59">
        <v>39.990299999999998</v>
      </c>
      <c r="F59">
        <v>2640.7111790200001</v>
      </c>
      <c r="G59">
        <v>2.0723850727099999</v>
      </c>
    </row>
    <row r="60" spans="1:7" x14ac:dyDescent="0.15">
      <c r="A60" t="s">
        <v>170</v>
      </c>
      <c r="B60">
        <v>305.26499999999999</v>
      </c>
      <c r="C60">
        <v>32.571300000000001</v>
      </c>
      <c r="D60">
        <v>36.7194</v>
      </c>
      <c r="E60">
        <v>38.6723</v>
      </c>
      <c r="F60">
        <v>1731.31774879</v>
      </c>
      <c r="G60">
        <v>1.7594859600099999</v>
      </c>
    </row>
    <row r="61" spans="1:7" x14ac:dyDescent="0.15">
      <c r="A61" t="s">
        <v>171</v>
      </c>
      <c r="B61">
        <v>597.04369999999994</v>
      </c>
      <c r="C61">
        <v>43.532400000000003</v>
      </c>
      <c r="D61">
        <v>45.487900000000003</v>
      </c>
      <c r="E61">
        <v>45.2821</v>
      </c>
      <c r="F61">
        <v>1924.2103292899999</v>
      </c>
      <c r="G61">
        <v>1.22633481026</v>
      </c>
    </row>
    <row r="62" spans="1:7" x14ac:dyDescent="0.15">
      <c r="A62" t="s">
        <v>172</v>
      </c>
      <c r="B62">
        <v>358.1857</v>
      </c>
      <c r="C62">
        <v>39.921999999999997</v>
      </c>
      <c r="D62">
        <v>42.6402</v>
      </c>
      <c r="E62">
        <v>42.088500000000003</v>
      </c>
      <c r="F62">
        <v>1466.2530782199999</v>
      </c>
      <c r="G62">
        <v>0.99710202217099997</v>
      </c>
    </row>
    <row r="63" spans="1:7" x14ac:dyDescent="0.15">
      <c r="A63" t="s">
        <v>173</v>
      </c>
      <c r="B63">
        <v>207.21109999999999</v>
      </c>
      <c r="C63">
        <v>36.521000000000001</v>
      </c>
      <c r="D63">
        <v>40.466999999999999</v>
      </c>
      <c r="E63">
        <v>39.694099999999999</v>
      </c>
      <c r="F63">
        <v>1050.35529017</v>
      </c>
      <c r="G63">
        <v>0.83889603614800001</v>
      </c>
    </row>
    <row r="64" spans="1:7" x14ac:dyDescent="0.15">
      <c r="A64" t="s">
        <v>174</v>
      </c>
      <c r="B64">
        <v>115.70480000000001</v>
      </c>
      <c r="C64">
        <v>33.313099999999999</v>
      </c>
      <c r="D64">
        <v>38.795299999999997</v>
      </c>
      <c r="E64">
        <v>37.8187</v>
      </c>
      <c r="F64">
        <v>663.43053436299999</v>
      </c>
      <c r="G64">
        <v>0.71576595306400004</v>
      </c>
    </row>
    <row r="65" spans="1:7" x14ac:dyDescent="0.15">
      <c r="A65" t="s">
        <v>175</v>
      </c>
      <c r="B65">
        <v>1543.3535999999999</v>
      </c>
      <c r="C65">
        <v>41.592300000000002</v>
      </c>
      <c r="D65">
        <v>43.443300000000001</v>
      </c>
      <c r="E65">
        <v>44.579700000000003</v>
      </c>
      <c r="F65">
        <v>2821.51981974</v>
      </c>
      <c r="G65">
        <v>1.9894499778700001</v>
      </c>
    </row>
    <row r="66" spans="1:7" x14ac:dyDescent="0.15">
      <c r="A66" t="s">
        <v>176</v>
      </c>
      <c r="B66">
        <v>988.78639999999996</v>
      </c>
      <c r="C66">
        <v>37.223500000000001</v>
      </c>
      <c r="D66">
        <v>40.7545</v>
      </c>
      <c r="E66">
        <v>42.023400000000002</v>
      </c>
      <c r="F66">
        <v>2262.2648654</v>
      </c>
      <c r="G66">
        <v>1.48338913918</v>
      </c>
    </row>
    <row r="67" spans="1:7" x14ac:dyDescent="0.15">
      <c r="A67" t="s">
        <v>177</v>
      </c>
      <c r="B67">
        <v>610.12400000000002</v>
      </c>
      <c r="C67">
        <v>33.4131</v>
      </c>
      <c r="D67">
        <v>39.284999999999997</v>
      </c>
      <c r="E67">
        <v>40.379199999999997</v>
      </c>
      <c r="F67">
        <v>1721.3951666400001</v>
      </c>
      <c r="G67">
        <v>1.2053940296200001</v>
      </c>
    </row>
    <row r="68" spans="1:7" x14ac:dyDescent="0.15">
      <c r="A68" t="s">
        <v>178</v>
      </c>
      <c r="B68">
        <v>360.49360000000001</v>
      </c>
      <c r="C68">
        <v>29.851099999999999</v>
      </c>
      <c r="D68">
        <v>38.342100000000002</v>
      </c>
      <c r="E68">
        <v>39.190100000000001</v>
      </c>
      <c r="F68">
        <v>1282.4064414500001</v>
      </c>
      <c r="G68">
        <v>0.98511314392100002</v>
      </c>
    </row>
    <row r="69" spans="1:7" x14ac:dyDescent="0.15">
      <c r="A69" t="s">
        <v>179</v>
      </c>
      <c r="B69">
        <v>1333.0349000000001</v>
      </c>
      <c r="C69">
        <v>41.415300000000002</v>
      </c>
      <c r="D69">
        <v>42.220999999999997</v>
      </c>
      <c r="E69">
        <v>43.058900000000001</v>
      </c>
      <c r="F69">
        <v>2625.9064490800001</v>
      </c>
      <c r="G69">
        <v>1.9479279518099999</v>
      </c>
    </row>
    <row r="70" spans="1:7" x14ac:dyDescent="0.15">
      <c r="A70" t="s">
        <v>180</v>
      </c>
      <c r="B70">
        <v>826.31349999999998</v>
      </c>
      <c r="C70">
        <v>37.1342</v>
      </c>
      <c r="D70">
        <v>39.284999999999997</v>
      </c>
      <c r="E70">
        <v>39.874299999999998</v>
      </c>
      <c r="F70">
        <v>2200.5499799200002</v>
      </c>
      <c r="G70">
        <v>1.4520587921100001</v>
      </c>
    </row>
    <row r="71" spans="1:7" x14ac:dyDescent="0.15">
      <c r="A71" t="s">
        <v>181</v>
      </c>
      <c r="B71">
        <v>472.3492</v>
      </c>
      <c r="C71">
        <v>33.1798</v>
      </c>
      <c r="D71">
        <v>37.200099999999999</v>
      </c>
      <c r="E71">
        <v>37.620100000000001</v>
      </c>
      <c r="F71">
        <v>1831.85456967</v>
      </c>
      <c r="G71">
        <v>1.14778804779</v>
      </c>
    </row>
    <row r="72" spans="1:7" x14ac:dyDescent="0.15">
      <c r="A72" t="s">
        <v>182</v>
      </c>
      <c r="B72">
        <v>240.82220000000001</v>
      </c>
      <c r="C72">
        <v>29.5791</v>
      </c>
      <c r="D72">
        <v>35.696199999999997</v>
      </c>
      <c r="E72">
        <v>36.072600000000001</v>
      </c>
      <c r="F72">
        <v>1357.7503283000001</v>
      </c>
      <c r="G72">
        <v>0.89635300636299997</v>
      </c>
    </row>
    <row r="73" spans="1:7" x14ac:dyDescent="0.15">
      <c r="A73" t="s">
        <v>183</v>
      </c>
      <c r="B73">
        <v>513.72320000000002</v>
      </c>
      <c r="C73">
        <v>43.082999999999998</v>
      </c>
      <c r="D73">
        <v>43.105499999999999</v>
      </c>
      <c r="E73">
        <v>44.0351</v>
      </c>
      <c r="F73">
        <v>1313.8736419700001</v>
      </c>
      <c r="G73">
        <v>0.84593176841700002</v>
      </c>
    </row>
    <row r="74" spans="1:7" x14ac:dyDescent="0.15">
      <c r="A74" t="s">
        <v>184</v>
      </c>
      <c r="B74">
        <v>312.50529999999998</v>
      </c>
      <c r="C74">
        <v>39.049300000000002</v>
      </c>
      <c r="D74">
        <v>39.849499999999999</v>
      </c>
      <c r="E74">
        <v>41.207999999999998</v>
      </c>
      <c r="F74">
        <v>1051.42159462</v>
      </c>
      <c r="G74">
        <v>0.73796510696399997</v>
      </c>
    </row>
    <row r="75" spans="1:7" x14ac:dyDescent="0.15">
      <c r="A75" t="s">
        <v>185</v>
      </c>
      <c r="B75">
        <v>174.02610000000001</v>
      </c>
      <c r="C75">
        <v>35.153100000000002</v>
      </c>
      <c r="D75">
        <v>37.822099999999999</v>
      </c>
      <c r="E75">
        <v>39.067300000000003</v>
      </c>
      <c r="F75">
        <v>806.09123110799999</v>
      </c>
      <c r="G75">
        <v>0.58198213577299995</v>
      </c>
    </row>
    <row r="76" spans="1:7" x14ac:dyDescent="0.15">
      <c r="A76" t="s">
        <v>186</v>
      </c>
      <c r="B76">
        <v>86.550799999999995</v>
      </c>
      <c r="C76">
        <v>31.675599999999999</v>
      </c>
      <c r="D76">
        <v>36.298200000000001</v>
      </c>
      <c r="E76">
        <v>37.353900000000003</v>
      </c>
      <c r="F76">
        <v>524.33160710300001</v>
      </c>
      <c r="G76">
        <v>0.478837013245</v>
      </c>
    </row>
    <row r="77" spans="1:7" x14ac:dyDescent="0.15">
      <c r="A77" t="s">
        <v>187</v>
      </c>
      <c r="B77">
        <v>3349.1984000000002</v>
      </c>
      <c r="C77">
        <v>44.329000000000001</v>
      </c>
      <c r="D77">
        <v>47.317599999999999</v>
      </c>
      <c r="E77">
        <v>48.519300000000001</v>
      </c>
      <c r="F77">
        <v>14368.231133900001</v>
      </c>
      <c r="G77">
        <v>9.3485748767899999</v>
      </c>
    </row>
    <row r="78" spans="1:7" x14ac:dyDescent="0.15">
      <c r="A78" t="s">
        <v>188</v>
      </c>
      <c r="B78">
        <v>2057.1680000000001</v>
      </c>
      <c r="C78">
        <v>41.846400000000003</v>
      </c>
      <c r="D78">
        <v>45.1584</v>
      </c>
      <c r="E78">
        <v>46.421799999999998</v>
      </c>
      <c r="F78">
        <v>9155.1901059100001</v>
      </c>
      <c r="G78">
        <v>8.1961121559100008</v>
      </c>
    </row>
    <row r="79" spans="1:7" x14ac:dyDescent="0.15">
      <c r="A79" t="s">
        <v>189</v>
      </c>
      <c r="B79">
        <v>1271.7375999999999</v>
      </c>
      <c r="C79">
        <v>39.0291</v>
      </c>
      <c r="D79">
        <v>43.435699999999997</v>
      </c>
      <c r="E79">
        <v>44.607900000000001</v>
      </c>
      <c r="F79">
        <v>6539.4606599799999</v>
      </c>
      <c r="G79">
        <v>7.1607398986800002</v>
      </c>
    </row>
    <row r="80" spans="1:7" x14ac:dyDescent="0.15">
      <c r="A80" t="s">
        <v>190</v>
      </c>
      <c r="B80">
        <v>768.90319999999997</v>
      </c>
      <c r="C80">
        <v>35.875500000000002</v>
      </c>
      <c r="D80">
        <v>42.090699999999998</v>
      </c>
      <c r="E80">
        <v>43.216799999999999</v>
      </c>
      <c r="F80">
        <v>4192.6571509799996</v>
      </c>
      <c r="G80">
        <v>6.2318570613900004</v>
      </c>
    </row>
    <row r="81" spans="1:7" x14ac:dyDescent="0.15">
      <c r="A81" t="s">
        <v>191</v>
      </c>
      <c r="B81">
        <v>2258.3496</v>
      </c>
      <c r="C81">
        <v>44.493200000000002</v>
      </c>
      <c r="D81">
        <v>48.593800000000002</v>
      </c>
      <c r="E81">
        <v>49.2958</v>
      </c>
      <c r="F81">
        <v>10413.7534149</v>
      </c>
      <c r="G81">
        <v>7.4429078102100004</v>
      </c>
    </row>
    <row r="82" spans="1:7" x14ac:dyDescent="0.15">
      <c r="A82" t="s">
        <v>192</v>
      </c>
      <c r="B82">
        <v>1256.5368000000001</v>
      </c>
      <c r="C82">
        <v>42.378</v>
      </c>
      <c r="D82">
        <v>46.699300000000001</v>
      </c>
      <c r="E82">
        <v>47.481099999999998</v>
      </c>
      <c r="F82">
        <v>6329.8343362799997</v>
      </c>
      <c r="G82">
        <v>6.4397280216199997</v>
      </c>
    </row>
    <row r="83" spans="1:7" x14ac:dyDescent="0.15">
      <c r="A83" t="s">
        <v>193</v>
      </c>
      <c r="B83">
        <v>715.98800000000006</v>
      </c>
      <c r="C83">
        <v>40.086300000000001</v>
      </c>
      <c r="D83">
        <v>45.019799999999996</v>
      </c>
      <c r="E83">
        <v>45.735599999999998</v>
      </c>
      <c r="F83">
        <v>4170.1460022900001</v>
      </c>
      <c r="G83">
        <v>5.7478990554799996</v>
      </c>
    </row>
    <row r="84" spans="1:7" x14ac:dyDescent="0.15">
      <c r="A84" t="s">
        <v>194</v>
      </c>
      <c r="B84">
        <v>411.78160000000003</v>
      </c>
      <c r="C84">
        <v>37.51</v>
      </c>
      <c r="D84">
        <v>43.570999999999998</v>
      </c>
      <c r="E84">
        <v>44.326700000000002</v>
      </c>
      <c r="F84">
        <v>2367.4930987399998</v>
      </c>
      <c r="G84">
        <v>5.2979090213799997</v>
      </c>
    </row>
    <row r="85" spans="1:7" x14ac:dyDescent="0.15">
      <c r="A85" t="s">
        <v>195</v>
      </c>
      <c r="B85">
        <v>2470.8888000000002</v>
      </c>
      <c r="C85">
        <v>44.883299999999998</v>
      </c>
      <c r="D85">
        <v>47.971499999999999</v>
      </c>
      <c r="E85">
        <v>48.888599999999997</v>
      </c>
      <c r="F85">
        <v>10869.9657969</v>
      </c>
      <c r="G85">
        <v>8.2438549995399999</v>
      </c>
    </row>
    <row r="86" spans="1:7" x14ac:dyDescent="0.15">
      <c r="A86" t="s">
        <v>196</v>
      </c>
      <c r="B86">
        <v>1484.9143999999999</v>
      </c>
      <c r="C86">
        <v>42.658799999999999</v>
      </c>
      <c r="D86">
        <v>45.876300000000001</v>
      </c>
      <c r="E86">
        <v>46.953400000000002</v>
      </c>
      <c r="F86">
        <v>6481.1785733699999</v>
      </c>
      <c r="G86">
        <v>7.12714910507</v>
      </c>
    </row>
    <row r="87" spans="1:7" x14ac:dyDescent="0.15">
      <c r="A87" t="s">
        <v>197</v>
      </c>
      <c r="B87">
        <v>900.11279999999999</v>
      </c>
      <c r="C87">
        <v>40.0961</v>
      </c>
      <c r="D87">
        <v>44.151000000000003</v>
      </c>
      <c r="E87">
        <v>45.242100000000001</v>
      </c>
      <c r="F87">
        <v>4370.0483284000002</v>
      </c>
      <c r="G87">
        <v>6.5020689964300002</v>
      </c>
    </row>
    <row r="88" spans="1:7" x14ac:dyDescent="0.15">
      <c r="A88" t="s">
        <v>198</v>
      </c>
      <c r="B88">
        <v>545.25040000000001</v>
      </c>
      <c r="C88">
        <v>37.249400000000001</v>
      </c>
      <c r="D88">
        <v>42.816699999999997</v>
      </c>
      <c r="E88">
        <v>43.885899999999999</v>
      </c>
      <c r="F88">
        <v>2754.8671357600001</v>
      </c>
      <c r="G88">
        <v>5.5780270099599996</v>
      </c>
    </row>
    <row r="89" spans="1:7" x14ac:dyDescent="0.15">
      <c r="A89" t="s">
        <v>199</v>
      </c>
      <c r="B89">
        <v>2506.5864999999999</v>
      </c>
      <c r="C89">
        <v>42.5383</v>
      </c>
      <c r="D89">
        <v>43.904299999999999</v>
      </c>
      <c r="E89">
        <v>44.639099999999999</v>
      </c>
      <c r="F89">
        <v>7093.5192630299998</v>
      </c>
      <c r="G89">
        <v>5.2140130996699998</v>
      </c>
    </row>
    <row r="90" spans="1:7" x14ac:dyDescent="0.15">
      <c r="A90" t="s">
        <v>200</v>
      </c>
      <c r="B90">
        <v>1424.377</v>
      </c>
      <c r="C90">
        <v>39.049900000000001</v>
      </c>
      <c r="D90">
        <v>41.103499999999997</v>
      </c>
      <c r="E90">
        <v>41.618299999999998</v>
      </c>
      <c r="F90">
        <v>5435.0498011099999</v>
      </c>
      <c r="G90">
        <v>4.2917501926400003</v>
      </c>
    </row>
    <row r="91" spans="1:7" x14ac:dyDescent="0.15">
      <c r="A91" t="s">
        <v>201</v>
      </c>
      <c r="B91">
        <v>823.11109999999996</v>
      </c>
      <c r="C91">
        <v>35.975099999999998</v>
      </c>
      <c r="D91">
        <v>39.0306</v>
      </c>
      <c r="E91">
        <v>39.400100000000002</v>
      </c>
      <c r="F91">
        <v>3847.4192979300001</v>
      </c>
      <c r="G91">
        <v>3.3964438438400002</v>
      </c>
    </row>
    <row r="92" spans="1:7" x14ac:dyDescent="0.15">
      <c r="A92" t="s">
        <v>202</v>
      </c>
      <c r="B92">
        <v>482.38490000000002</v>
      </c>
      <c r="C92">
        <v>33.044800000000002</v>
      </c>
      <c r="D92">
        <v>37.453099999999999</v>
      </c>
      <c r="E92">
        <v>37.612400000000001</v>
      </c>
      <c r="F92">
        <v>2412.7695818000002</v>
      </c>
      <c r="G92">
        <v>3.0954880714400002</v>
      </c>
    </row>
    <row r="93" spans="1:7" x14ac:dyDescent="0.15">
      <c r="A93" t="s">
        <v>203</v>
      </c>
      <c r="B93">
        <v>11682.265600000001</v>
      </c>
      <c r="C93">
        <v>44.211199999999998</v>
      </c>
      <c r="D93">
        <v>45.18</v>
      </c>
      <c r="E93">
        <v>45.791800000000002</v>
      </c>
      <c r="F93">
        <v>36488.945672299997</v>
      </c>
      <c r="G93">
        <v>30.069167137099999</v>
      </c>
    </row>
    <row r="94" spans="1:7" x14ac:dyDescent="0.15">
      <c r="A94" t="s">
        <v>204</v>
      </c>
      <c r="B94">
        <v>6825.6768000000002</v>
      </c>
      <c r="C94">
        <v>40.688800000000001</v>
      </c>
      <c r="D94">
        <v>42.344099999999997</v>
      </c>
      <c r="E94">
        <v>42.747700000000002</v>
      </c>
      <c r="F94">
        <v>27247.488178200001</v>
      </c>
      <c r="G94">
        <v>24.431778907799998</v>
      </c>
    </row>
    <row r="95" spans="1:7" x14ac:dyDescent="0.15">
      <c r="A95" t="s">
        <v>205</v>
      </c>
      <c r="B95">
        <v>3918.9063999999998</v>
      </c>
      <c r="C95">
        <v>37.4298</v>
      </c>
      <c r="D95">
        <v>40.1768</v>
      </c>
      <c r="E95">
        <v>40.387799999999999</v>
      </c>
      <c r="F95">
        <v>19212.358112099999</v>
      </c>
      <c r="G95">
        <v>20.3439331055</v>
      </c>
    </row>
    <row r="96" spans="1:7" x14ac:dyDescent="0.15">
      <c r="A96" t="s">
        <v>206</v>
      </c>
      <c r="B96">
        <v>2221.7552000000001</v>
      </c>
      <c r="C96">
        <v>34.345300000000002</v>
      </c>
      <c r="D96">
        <v>38.475200000000001</v>
      </c>
      <c r="E96">
        <v>38.572800000000001</v>
      </c>
      <c r="F96">
        <v>11730.200641199999</v>
      </c>
      <c r="G96">
        <v>17.1571478844</v>
      </c>
    </row>
    <row r="97" spans="1:7" x14ac:dyDescent="0.15">
      <c r="A97" t="s">
        <v>207</v>
      </c>
      <c r="B97">
        <v>3689.5437000000002</v>
      </c>
      <c r="C97">
        <v>47.0092</v>
      </c>
      <c r="D97">
        <v>45.180900000000001</v>
      </c>
      <c r="E97">
        <v>45.688600000000001</v>
      </c>
      <c r="F97">
        <v>5749.29729271</v>
      </c>
      <c r="G97">
        <v>6.5224330425300003</v>
      </c>
    </row>
    <row r="98" spans="1:7" x14ac:dyDescent="0.15">
      <c r="A98" t="s">
        <v>208</v>
      </c>
      <c r="B98">
        <v>2800.5931999999998</v>
      </c>
      <c r="C98">
        <v>42.537500000000001</v>
      </c>
      <c r="D98">
        <v>41.215200000000003</v>
      </c>
      <c r="E98">
        <v>42.174500000000002</v>
      </c>
      <c r="F98">
        <v>4949.7904078900001</v>
      </c>
      <c r="G98">
        <v>5.6498129367800001</v>
      </c>
    </row>
    <row r="99" spans="1:7" x14ac:dyDescent="0.15">
      <c r="A99" t="s">
        <v>209</v>
      </c>
      <c r="B99">
        <v>2191.5268000000001</v>
      </c>
      <c r="C99">
        <v>37.972299999999997</v>
      </c>
      <c r="D99">
        <v>39.198300000000003</v>
      </c>
      <c r="E99">
        <v>40.408700000000003</v>
      </c>
      <c r="F99">
        <v>4295.7458014499998</v>
      </c>
      <c r="G99">
        <v>5.0214970111800001</v>
      </c>
    </row>
    <row r="100" spans="1:7" x14ac:dyDescent="0.15">
      <c r="A100" t="s">
        <v>210</v>
      </c>
      <c r="B100">
        <v>1609.2971</v>
      </c>
      <c r="C100">
        <v>33.087299999999999</v>
      </c>
      <c r="D100">
        <v>38.269399999999997</v>
      </c>
      <c r="E100">
        <v>39.388500000000001</v>
      </c>
      <c r="F100">
        <v>3754.5675041700001</v>
      </c>
      <c r="G100">
        <v>4.6514928340899999</v>
      </c>
    </row>
    <row r="101" spans="1:7" x14ac:dyDescent="0.15">
      <c r="A101" t="s">
        <v>211</v>
      </c>
      <c r="B101">
        <v>592.0127</v>
      </c>
      <c r="C101">
        <v>51.092100000000002</v>
      </c>
      <c r="D101">
        <v>54.044400000000003</v>
      </c>
      <c r="E101">
        <v>54.945599999999999</v>
      </c>
      <c r="F101">
        <v>4013.4422919799999</v>
      </c>
      <c r="G101">
        <v>4.9828679561599998</v>
      </c>
    </row>
    <row r="102" spans="1:7" x14ac:dyDescent="0.15">
      <c r="A102" t="s">
        <v>212</v>
      </c>
      <c r="B102">
        <v>401.88760000000002</v>
      </c>
      <c r="C102">
        <v>47.435499999999998</v>
      </c>
      <c r="D102">
        <v>50.684899999999999</v>
      </c>
      <c r="E102">
        <v>51.797699999999999</v>
      </c>
      <c r="F102">
        <v>3026.7307081200001</v>
      </c>
      <c r="G102">
        <v>4.5443911552399996</v>
      </c>
    </row>
    <row r="103" spans="1:7" x14ac:dyDescent="0.15">
      <c r="A103" t="s">
        <v>213</v>
      </c>
      <c r="B103">
        <v>276.12060000000002</v>
      </c>
      <c r="C103">
        <v>43.805900000000001</v>
      </c>
      <c r="D103">
        <v>48.317300000000003</v>
      </c>
      <c r="E103">
        <v>49.739899999999999</v>
      </c>
      <c r="F103">
        <v>2406.8768670600002</v>
      </c>
      <c r="G103">
        <v>4.1376540660899996</v>
      </c>
    </row>
    <row r="104" spans="1:7" x14ac:dyDescent="0.15">
      <c r="A104" t="s">
        <v>214</v>
      </c>
      <c r="B104">
        <v>184.1987</v>
      </c>
      <c r="C104">
        <v>39.963999999999999</v>
      </c>
      <c r="D104">
        <v>46.423200000000001</v>
      </c>
      <c r="E104">
        <v>48.171700000000001</v>
      </c>
      <c r="F104">
        <v>1900.98907328</v>
      </c>
      <c r="G104">
        <v>3.8691489696499999</v>
      </c>
    </row>
    <row r="105" spans="1:7" x14ac:dyDescent="0.15">
      <c r="A105" t="s">
        <v>215</v>
      </c>
      <c r="B105">
        <v>28286.987799999999</v>
      </c>
      <c r="C105">
        <v>40.324800000000003</v>
      </c>
      <c r="D105">
        <v>49.102800000000002</v>
      </c>
      <c r="E105">
        <v>47.4193</v>
      </c>
      <c r="F105">
        <v>427027.68935499998</v>
      </c>
      <c r="G105">
        <v>153.66053295099999</v>
      </c>
    </row>
    <row r="106" spans="1:7" x14ac:dyDescent="0.15">
      <c r="A106" t="s">
        <v>216</v>
      </c>
      <c r="B106">
        <v>7651.1607999999997</v>
      </c>
      <c r="C106">
        <v>39.573700000000002</v>
      </c>
      <c r="D106">
        <v>48.326999999999998</v>
      </c>
      <c r="E106">
        <v>46.198300000000003</v>
      </c>
      <c r="F106">
        <v>199857.688888</v>
      </c>
      <c r="G106">
        <v>127.672544003</v>
      </c>
    </row>
    <row r="107" spans="1:7" x14ac:dyDescent="0.15">
      <c r="A107" t="s">
        <v>217</v>
      </c>
      <c r="B107">
        <v>3803.8629000000001</v>
      </c>
      <c r="C107">
        <v>38.631100000000004</v>
      </c>
      <c r="D107">
        <v>47.5105</v>
      </c>
      <c r="E107">
        <v>44.991700000000002</v>
      </c>
      <c r="F107">
        <v>123687.630177</v>
      </c>
      <c r="G107">
        <v>103.387618065</v>
      </c>
    </row>
    <row r="108" spans="1:7" x14ac:dyDescent="0.15">
      <c r="A108" t="s">
        <v>218</v>
      </c>
      <c r="B108">
        <v>2087.2473</v>
      </c>
      <c r="C108">
        <v>37.2087</v>
      </c>
      <c r="D108">
        <v>46.628599999999999</v>
      </c>
      <c r="E108">
        <v>43.691099999999999</v>
      </c>
      <c r="F108">
        <v>78830.463585100006</v>
      </c>
      <c r="G108">
        <v>88.317420005800003</v>
      </c>
    </row>
    <row r="109" spans="1:7" x14ac:dyDescent="0.15">
      <c r="A109" t="s">
        <v>219</v>
      </c>
      <c r="B109">
        <v>17685.089599999999</v>
      </c>
      <c r="C109">
        <v>44.164400000000001</v>
      </c>
      <c r="D109">
        <v>49.017200000000003</v>
      </c>
      <c r="E109">
        <v>49.642499999999998</v>
      </c>
      <c r="F109">
        <v>267397.84968099999</v>
      </c>
      <c r="G109">
        <v>141.936374903</v>
      </c>
    </row>
    <row r="110" spans="1:7" x14ac:dyDescent="0.15">
      <c r="A110" t="s">
        <v>220</v>
      </c>
      <c r="B110">
        <v>7707.1904000000004</v>
      </c>
      <c r="C110">
        <v>42.654800000000002</v>
      </c>
      <c r="D110">
        <v>47.253500000000003</v>
      </c>
      <c r="E110">
        <v>47.685099999999998</v>
      </c>
      <c r="F110">
        <v>156618.805227</v>
      </c>
      <c r="G110">
        <v>122.142318964</v>
      </c>
    </row>
    <row r="111" spans="1:7" x14ac:dyDescent="0.15">
      <c r="A111" t="s">
        <v>221</v>
      </c>
      <c r="B111">
        <v>4048.0144</v>
      </c>
      <c r="C111">
        <v>40.720500000000001</v>
      </c>
      <c r="D111">
        <v>45.775199999999998</v>
      </c>
      <c r="E111">
        <v>46.085500000000003</v>
      </c>
      <c r="F111">
        <v>106858.32533000001</v>
      </c>
      <c r="G111">
        <v>109.191241026</v>
      </c>
    </row>
    <row r="112" spans="1:7" x14ac:dyDescent="0.15">
      <c r="A112" t="s">
        <v>222</v>
      </c>
      <c r="B112">
        <v>2148.4112</v>
      </c>
      <c r="C112">
        <v>38.3429</v>
      </c>
      <c r="D112">
        <v>44.412799999999997</v>
      </c>
      <c r="E112">
        <v>44.563499999999998</v>
      </c>
      <c r="F112">
        <v>68919.337430700005</v>
      </c>
      <c r="G112">
        <v>87.978848934200002</v>
      </c>
    </row>
    <row r="113" spans="1:7" x14ac:dyDescent="0.15">
      <c r="A113" t="s">
        <v>223</v>
      </c>
      <c r="B113">
        <v>60909.163200000003</v>
      </c>
      <c r="C113">
        <v>39.501899999999999</v>
      </c>
      <c r="D113">
        <v>42.2316</v>
      </c>
      <c r="E113">
        <v>42.522199999999998</v>
      </c>
      <c r="F113">
        <v>671165.03346199996</v>
      </c>
      <c r="G113">
        <v>220.290034056</v>
      </c>
    </row>
    <row r="114" spans="1:7" x14ac:dyDescent="0.15">
      <c r="A114" t="s">
        <v>224</v>
      </c>
      <c r="B114">
        <v>17732.125599999999</v>
      </c>
      <c r="C114">
        <v>37.529699999999998</v>
      </c>
      <c r="D114">
        <v>39.025300000000001</v>
      </c>
      <c r="E114">
        <v>40.997999999999998</v>
      </c>
      <c r="F114">
        <v>353120.51296199998</v>
      </c>
      <c r="G114">
        <v>146.502042055</v>
      </c>
    </row>
    <row r="115" spans="1:7" x14ac:dyDescent="0.15">
      <c r="A115" t="s">
        <v>225</v>
      </c>
      <c r="B115">
        <v>8977.1368000000002</v>
      </c>
      <c r="C115">
        <v>36.4084</v>
      </c>
      <c r="D115">
        <v>37.383600000000001</v>
      </c>
      <c r="E115">
        <v>39.8643</v>
      </c>
      <c r="F115">
        <v>236606.785298</v>
      </c>
      <c r="G115">
        <v>118.521477938</v>
      </c>
    </row>
    <row r="116" spans="1:7" x14ac:dyDescent="0.15">
      <c r="A116" t="s">
        <v>226</v>
      </c>
      <c r="B116">
        <v>4914.72</v>
      </c>
      <c r="C116">
        <v>35.023899999999998</v>
      </c>
      <c r="D116">
        <v>35.306800000000003</v>
      </c>
      <c r="E116">
        <v>38.546599999999998</v>
      </c>
      <c r="F116">
        <v>156050.32546299999</v>
      </c>
      <c r="G116">
        <v>95.592811822900003</v>
      </c>
    </row>
    <row r="117" spans="1:7" x14ac:dyDescent="0.15">
      <c r="A117" t="s">
        <v>227</v>
      </c>
      <c r="B117">
        <v>34185.902399999999</v>
      </c>
      <c r="C117">
        <v>40.366599999999998</v>
      </c>
      <c r="D117">
        <v>41.841200000000001</v>
      </c>
      <c r="E117">
        <v>43.517699999999998</v>
      </c>
      <c r="F117">
        <v>298341.25611999998</v>
      </c>
      <c r="G117">
        <v>168.94708108899999</v>
      </c>
    </row>
    <row r="118" spans="1:7" x14ac:dyDescent="0.15">
      <c r="A118" t="s">
        <v>228</v>
      </c>
      <c r="B118">
        <v>8930.8799999999992</v>
      </c>
      <c r="C118">
        <v>39.337299999999999</v>
      </c>
      <c r="D118">
        <v>41.3033</v>
      </c>
      <c r="E118">
        <v>42.345999999999997</v>
      </c>
      <c r="F118">
        <v>156393.20960100001</v>
      </c>
      <c r="G118">
        <v>109.2110672</v>
      </c>
    </row>
    <row r="119" spans="1:7" x14ac:dyDescent="0.15">
      <c r="A119" t="s">
        <v>229</v>
      </c>
      <c r="B119">
        <v>4368.6736000000001</v>
      </c>
      <c r="C119">
        <v>38.044899999999998</v>
      </c>
      <c r="D119">
        <v>40.717799999999997</v>
      </c>
      <c r="E119">
        <v>41.171300000000002</v>
      </c>
      <c r="F119">
        <v>99570.106096000003</v>
      </c>
      <c r="G119">
        <v>91.179028034200002</v>
      </c>
    </row>
    <row r="120" spans="1:7" x14ac:dyDescent="0.15">
      <c r="A120" t="s">
        <v>230</v>
      </c>
      <c r="B120">
        <v>2315.2864</v>
      </c>
      <c r="C120">
        <v>36.2864</v>
      </c>
      <c r="D120">
        <v>40.053600000000003</v>
      </c>
      <c r="E120">
        <v>39.955100000000002</v>
      </c>
      <c r="F120">
        <v>68302.833966599996</v>
      </c>
      <c r="G120">
        <v>78.437357187299995</v>
      </c>
    </row>
    <row r="121" spans="1:7" x14ac:dyDescent="0.15">
      <c r="A121" t="s">
        <v>231</v>
      </c>
      <c r="B121">
        <v>60838.113599999997</v>
      </c>
      <c r="C121">
        <v>38.123100000000001</v>
      </c>
      <c r="D121">
        <v>45.600200000000001</v>
      </c>
      <c r="E121">
        <v>43.353200000000001</v>
      </c>
      <c r="F121">
        <v>480303.24833700003</v>
      </c>
      <c r="G121">
        <v>197.33212018</v>
      </c>
    </row>
    <row r="122" spans="1:7" x14ac:dyDescent="0.15">
      <c r="A122" t="s">
        <v>232</v>
      </c>
      <c r="B122">
        <v>10717.939200000001</v>
      </c>
      <c r="C122">
        <v>37.1952</v>
      </c>
      <c r="D122">
        <v>44.816600000000001</v>
      </c>
      <c r="E122">
        <v>42.404000000000003</v>
      </c>
      <c r="F122">
        <v>196631.49568299999</v>
      </c>
      <c r="G122">
        <v>132.08796715700001</v>
      </c>
    </row>
    <row r="123" spans="1:7" x14ac:dyDescent="0.15">
      <c r="A123" t="s">
        <v>233</v>
      </c>
      <c r="B123">
        <v>4458.8991999999998</v>
      </c>
      <c r="C123">
        <v>36.240600000000001</v>
      </c>
      <c r="D123">
        <v>43.994599999999998</v>
      </c>
      <c r="E123">
        <v>41.4377</v>
      </c>
      <c r="F123">
        <v>116204.431673</v>
      </c>
      <c r="G123">
        <v>109.820343971</v>
      </c>
    </row>
    <row r="124" spans="1:7" x14ac:dyDescent="0.15">
      <c r="A124" t="s">
        <v>234</v>
      </c>
      <c r="B124">
        <v>2232.6336000000001</v>
      </c>
      <c r="C124">
        <v>34.846499999999999</v>
      </c>
      <c r="D124">
        <v>43.066099999999999</v>
      </c>
      <c r="E124">
        <v>40.371699999999997</v>
      </c>
      <c r="F124">
        <v>71477.922163900002</v>
      </c>
      <c r="G124">
        <v>95.855064153699999</v>
      </c>
    </row>
    <row r="125" spans="1:7" x14ac:dyDescent="0.15">
      <c r="A125" t="s">
        <v>235</v>
      </c>
      <c r="B125">
        <v>113157.3227</v>
      </c>
      <c r="C125">
        <v>43.067700000000002</v>
      </c>
      <c r="D125">
        <v>37.918700000000001</v>
      </c>
      <c r="E125">
        <v>38.837899999999998</v>
      </c>
      <c r="F125">
        <v>440814.14692999999</v>
      </c>
      <c r="G125">
        <v>245.310477972</v>
      </c>
    </row>
    <row r="126" spans="1:7" x14ac:dyDescent="0.15">
      <c r="A126" t="s">
        <v>236</v>
      </c>
      <c r="B126">
        <v>44934.965300000003</v>
      </c>
      <c r="C126">
        <v>39.109200000000001</v>
      </c>
      <c r="D126">
        <v>35.005400000000002</v>
      </c>
      <c r="E126">
        <v>36.260199999999998</v>
      </c>
      <c r="F126">
        <v>280456.60044200002</v>
      </c>
      <c r="G126">
        <v>196.55516505200001</v>
      </c>
    </row>
    <row r="127" spans="1:7" x14ac:dyDescent="0.15">
      <c r="A127" t="s">
        <v>237</v>
      </c>
      <c r="B127">
        <v>21300.76</v>
      </c>
      <c r="C127">
        <v>35.867400000000004</v>
      </c>
      <c r="D127">
        <v>33.277200000000001</v>
      </c>
      <c r="E127">
        <v>34.718499999999999</v>
      </c>
      <c r="F127">
        <v>201433.890514</v>
      </c>
      <c r="G127">
        <v>159.96581888200001</v>
      </c>
    </row>
    <row r="128" spans="1:7" x14ac:dyDescent="0.15">
      <c r="A128" t="s">
        <v>238</v>
      </c>
      <c r="B128">
        <v>9517.4933000000001</v>
      </c>
      <c r="C128">
        <v>32.942500000000003</v>
      </c>
      <c r="D128">
        <v>31.7883</v>
      </c>
      <c r="E128">
        <v>33.401800000000001</v>
      </c>
      <c r="F128">
        <v>136043.30347399999</v>
      </c>
      <c r="G128">
        <v>123.284329891</v>
      </c>
    </row>
    <row r="129" spans="1:7" x14ac:dyDescent="0.15">
      <c r="A129" t="s">
        <v>239</v>
      </c>
      <c r="B129">
        <v>14583.7832</v>
      </c>
      <c r="C129">
        <v>40.779600000000002</v>
      </c>
      <c r="D129">
        <v>44.256500000000003</v>
      </c>
      <c r="E129">
        <v>45.156199999999998</v>
      </c>
      <c r="F129">
        <v>171691.201027</v>
      </c>
      <c r="G129">
        <v>90.439898014099995</v>
      </c>
    </row>
    <row r="130" spans="1:7" x14ac:dyDescent="0.15">
      <c r="A130" t="s">
        <v>240</v>
      </c>
      <c r="B130">
        <v>5606.5528000000004</v>
      </c>
      <c r="C130">
        <v>38.657400000000003</v>
      </c>
      <c r="D130">
        <v>42.744</v>
      </c>
      <c r="E130">
        <v>43.777700000000003</v>
      </c>
      <c r="F130">
        <v>93389.197486100005</v>
      </c>
      <c r="G130">
        <v>69.265849113499996</v>
      </c>
    </row>
    <row r="131" spans="1:7" x14ac:dyDescent="0.15">
      <c r="A131" t="s">
        <v>241</v>
      </c>
      <c r="B131">
        <v>2537.6968000000002</v>
      </c>
      <c r="C131">
        <v>36.456499999999998</v>
      </c>
      <c r="D131">
        <v>41.547600000000003</v>
      </c>
      <c r="E131">
        <v>42.6</v>
      </c>
      <c r="F131">
        <v>62725.765206999997</v>
      </c>
      <c r="G131">
        <v>56.558344841</v>
      </c>
    </row>
    <row r="132" spans="1:7" x14ac:dyDescent="0.15">
      <c r="A132" t="s">
        <v>242</v>
      </c>
      <c r="B132">
        <v>1126.8720000000001</v>
      </c>
      <c r="C132">
        <v>34.131900000000002</v>
      </c>
      <c r="D132">
        <v>40.442500000000003</v>
      </c>
      <c r="E132">
        <v>41.434899999999999</v>
      </c>
      <c r="F132">
        <v>41600.765552800003</v>
      </c>
      <c r="G132">
        <v>44.404675960500001</v>
      </c>
    </row>
    <row r="133" spans="1:7" x14ac:dyDescent="0.15">
      <c r="A133" t="s">
        <v>243</v>
      </c>
      <c r="B133">
        <v>9716.9912000000004</v>
      </c>
      <c r="C133">
        <v>44.419600000000003</v>
      </c>
      <c r="D133">
        <v>47.479500000000002</v>
      </c>
      <c r="E133">
        <v>48.4482</v>
      </c>
      <c r="F133">
        <v>164907.91571100001</v>
      </c>
      <c r="G133">
        <v>84.562978029299998</v>
      </c>
    </row>
    <row r="134" spans="1:7" x14ac:dyDescent="0.15">
      <c r="A134" t="s">
        <v>244</v>
      </c>
      <c r="B134">
        <v>4798.6072000000004</v>
      </c>
      <c r="C134">
        <v>41.248899999999999</v>
      </c>
      <c r="D134">
        <v>45.340800000000002</v>
      </c>
      <c r="E134">
        <v>46.066099999999999</v>
      </c>
      <c r="F134">
        <v>111769.45017700001</v>
      </c>
      <c r="G134">
        <v>70.254786968199994</v>
      </c>
    </row>
    <row r="135" spans="1:7" x14ac:dyDescent="0.15">
      <c r="A135" t="s">
        <v>245</v>
      </c>
      <c r="B135">
        <v>2545.2352000000001</v>
      </c>
      <c r="C135">
        <v>38.184699999999999</v>
      </c>
      <c r="D135">
        <v>43.815600000000003</v>
      </c>
      <c r="E135">
        <v>44.369700000000002</v>
      </c>
      <c r="F135">
        <v>81692.871946800005</v>
      </c>
      <c r="G135">
        <v>58.2138080597</v>
      </c>
    </row>
    <row r="136" spans="1:7" x14ac:dyDescent="0.15">
      <c r="A136" t="s">
        <v>246</v>
      </c>
      <c r="B136">
        <v>1324.8584000000001</v>
      </c>
      <c r="C136">
        <v>35.218499999999999</v>
      </c>
      <c r="D136">
        <v>42.529699999999998</v>
      </c>
      <c r="E136">
        <v>42.8643</v>
      </c>
      <c r="F136">
        <v>56330.8016775</v>
      </c>
      <c r="G136">
        <v>46.512850046200001</v>
      </c>
    </row>
    <row r="137" spans="1:7" x14ac:dyDescent="0.15">
      <c r="A137" t="s">
        <v>247</v>
      </c>
      <c r="B137">
        <v>15351.6672</v>
      </c>
      <c r="C137">
        <v>38.652799999999999</v>
      </c>
      <c r="D137">
        <v>40.215699999999998</v>
      </c>
      <c r="E137">
        <v>43.969900000000003</v>
      </c>
      <c r="F137">
        <v>142832.22036000001</v>
      </c>
      <c r="G137">
        <v>72.206397056599997</v>
      </c>
    </row>
    <row r="138" spans="1:7" x14ac:dyDescent="0.15">
      <c r="A138" t="s">
        <v>248</v>
      </c>
      <c r="B138">
        <v>4495.9751999999999</v>
      </c>
      <c r="C138">
        <v>37.109000000000002</v>
      </c>
      <c r="D138">
        <v>39.395400000000002</v>
      </c>
      <c r="E138">
        <v>42.477600000000002</v>
      </c>
      <c r="F138">
        <v>79070.055701699996</v>
      </c>
      <c r="G138">
        <v>47.1878190041</v>
      </c>
    </row>
    <row r="139" spans="1:7" x14ac:dyDescent="0.15">
      <c r="A139" t="s">
        <v>249</v>
      </c>
      <c r="B139">
        <v>2088.884</v>
      </c>
      <c r="C139">
        <v>35.394300000000001</v>
      </c>
      <c r="D139">
        <v>38.760399999999997</v>
      </c>
      <c r="E139">
        <v>41.137500000000003</v>
      </c>
      <c r="F139">
        <v>52205.861273100003</v>
      </c>
      <c r="G139">
        <v>38.750919818900002</v>
      </c>
    </row>
    <row r="140" spans="1:7" x14ac:dyDescent="0.15">
      <c r="A140" t="s">
        <v>250</v>
      </c>
      <c r="B140">
        <v>1010.7984</v>
      </c>
      <c r="C140">
        <v>33.270299999999999</v>
      </c>
      <c r="D140">
        <v>37.994999999999997</v>
      </c>
      <c r="E140">
        <v>39.8215</v>
      </c>
      <c r="F140">
        <v>35505.422497699998</v>
      </c>
      <c r="G140">
        <v>32.760833024999997</v>
      </c>
    </row>
    <row r="141" spans="1:7" x14ac:dyDescent="0.15">
      <c r="A141" t="s">
        <v>251</v>
      </c>
      <c r="B141">
        <v>14771.662399999999</v>
      </c>
      <c r="C141">
        <v>39.383400000000002</v>
      </c>
      <c r="D141">
        <v>44.188000000000002</v>
      </c>
      <c r="E141">
        <v>45.696100000000001</v>
      </c>
      <c r="F141">
        <v>190634.68012100001</v>
      </c>
      <c r="G141">
        <v>77.942489147200007</v>
      </c>
    </row>
    <row r="142" spans="1:7" x14ac:dyDescent="0.15">
      <c r="A142" t="s">
        <v>252</v>
      </c>
      <c r="B142">
        <v>4820.7528000000002</v>
      </c>
      <c r="C142">
        <v>37.717799999999997</v>
      </c>
      <c r="D142">
        <v>43.087499999999999</v>
      </c>
      <c r="E142">
        <v>43.889299999999999</v>
      </c>
      <c r="F142">
        <v>108848.34086900001</v>
      </c>
      <c r="G142">
        <v>57.716483116100001</v>
      </c>
    </row>
    <row r="143" spans="1:7" x14ac:dyDescent="0.15">
      <c r="A143" t="s">
        <v>253</v>
      </c>
      <c r="B143">
        <v>2279.3847999999998</v>
      </c>
      <c r="C143">
        <v>35.985199999999999</v>
      </c>
      <c r="D143">
        <v>42.094799999999999</v>
      </c>
      <c r="E143">
        <v>42.426000000000002</v>
      </c>
      <c r="F143">
        <v>70717.051875399993</v>
      </c>
      <c r="G143">
        <v>50.110920906099999</v>
      </c>
    </row>
    <row r="144" spans="1:7" x14ac:dyDescent="0.15">
      <c r="A144" t="s">
        <v>254</v>
      </c>
      <c r="B144">
        <v>1147.9272000000001</v>
      </c>
      <c r="C144">
        <v>33.977600000000002</v>
      </c>
      <c r="D144">
        <v>41.073999999999998</v>
      </c>
      <c r="E144">
        <v>40.9392</v>
      </c>
      <c r="F144">
        <v>46583.163316500002</v>
      </c>
      <c r="G144">
        <v>42.091827869399999</v>
      </c>
    </row>
    <row r="145" spans="1:7" x14ac:dyDescent="0.15">
      <c r="A145" t="s">
        <v>255</v>
      </c>
      <c r="B145">
        <v>33080.568800000001</v>
      </c>
      <c r="C145">
        <v>37.386699999999998</v>
      </c>
      <c r="D145">
        <v>42.500599999999999</v>
      </c>
      <c r="E145">
        <v>44.715299999999999</v>
      </c>
      <c r="F145">
        <v>148494.55862299999</v>
      </c>
      <c r="G145">
        <v>119.686007023</v>
      </c>
    </row>
    <row r="146" spans="1:7" x14ac:dyDescent="0.15">
      <c r="A146" t="s">
        <v>256</v>
      </c>
      <c r="B146">
        <v>5713.4096</v>
      </c>
      <c r="C146">
        <v>35.4129</v>
      </c>
      <c r="D146">
        <v>41.439</v>
      </c>
      <c r="E146">
        <v>43.781599999999997</v>
      </c>
      <c r="F146">
        <v>60710.090929500002</v>
      </c>
      <c r="G146">
        <v>59.081494092900002</v>
      </c>
    </row>
    <row r="147" spans="1:7" x14ac:dyDescent="0.15">
      <c r="A147" t="s">
        <v>257</v>
      </c>
      <c r="B147">
        <v>1810.1096</v>
      </c>
      <c r="C147">
        <v>34.103900000000003</v>
      </c>
      <c r="D147">
        <v>40.334200000000003</v>
      </c>
      <c r="E147">
        <v>42.871299999999998</v>
      </c>
      <c r="F147">
        <v>35896.666215700003</v>
      </c>
      <c r="G147">
        <v>45.360362052900001</v>
      </c>
    </row>
    <row r="148" spans="1:7" x14ac:dyDescent="0.15">
      <c r="A148" t="s">
        <v>258</v>
      </c>
      <c r="B148">
        <v>806.64559999999994</v>
      </c>
      <c r="C148">
        <v>32.552500000000002</v>
      </c>
      <c r="D148">
        <v>39.232300000000002</v>
      </c>
      <c r="E148">
        <v>41.948399999999999</v>
      </c>
      <c r="F148">
        <v>22788.649610299999</v>
      </c>
      <c r="G148">
        <v>35.9372241497</v>
      </c>
    </row>
    <row r="149" spans="1:7" x14ac:dyDescent="0.15">
      <c r="A149" t="s">
        <v>259</v>
      </c>
      <c r="B149">
        <v>2966.02</v>
      </c>
      <c r="C149">
        <v>41.257899999999999</v>
      </c>
      <c r="D149">
        <v>43.720599999999997</v>
      </c>
      <c r="E149">
        <v>44.5105</v>
      </c>
      <c r="F149">
        <v>27750.276087499999</v>
      </c>
      <c r="G149">
        <v>15.0949940681</v>
      </c>
    </row>
    <row r="150" spans="1:7" x14ac:dyDescent="0.15">
      <c r="A150" t="s">
        <v>260</v>
      </c>
      <c r="B150">
        <v>1367.9215999999999</v>
      </c>
      <c r="C150">
        <v>38.026600000000002</v>
      </c>
      <c r="D150">
        <v>41.527999999999999</v>
      </c>
      <c r="E150">
        <v>41.905299999999997</v>
      </c>
      <c r="F150">
        <v>19841.289702900001</v>
      </c>
      <c r="G150">
        <v>12.8193721771</v>
      </c>
    </row>
    <row r="151" spans="1:7" x14ac:dyDescent="0.15">
      <c r="A151" t="s">
        <v>261</v>
      </c>
      <c r="B151">
        <v>689.85760000000005</v>
      </c>
      <c r="C151">
        <v>35.110399999999998</v>
      </c>
      <c r="D151">
        <v>39.762999999999998</v>
      </c>
      <c r="E151">
        <v>39.978900000000003</v>
      </c>
      <c r="F151">
        <v>14162.891223000001</v>
      </c>
      <c r="G151">
        <v>8.9932739734599991</v>
      </c>
    </row>
    <row r="152" spans="1:7" x14ac:dyDescent="0.15">
      <c r="A152" t="s">
        <v>262</v>
      </c>
      <c r="B152">
        <v>352.10719999999998</v>
      </c>
      <c r="C152">
        <v>32.472999999999999</v>
      </c>
      <c r="D152">
        <v>38.195900000000002</v>
      </c>
      <c r="E152">
        <v>38.241700000000002</v>
      </c>
      <c r="F152">
        <v>9725.3401074400008</v>
      </c>
      <c r="G152">
        <v>7.0210008621200002</v>
      </c>
    </row>
    <row r="153" spans="1:7" x14ac:dyDescent="0.15">
      <c r="A153" t="s">
        <v>263</v>
      </c>
      <c r="B153">
        <v>3019.3431999999998</v>
      </c>
      <c r="C153">
        <v>40.465000000000003</v>
      </c>
      <c r="D153">
        <v>44.081400000000002</v>
      </c>
      <c r="E153">
        <v>45.808900000000001</v>
      </c>
      <c r="F153">
        <v>25538.3342152</v>
      </c>
      <c r="G153">
        <v>19.1069328785</v>
      </c>
    </row>
    <row r="154" spans="1:7" x14ac:dyDescent="0.15">
      <c r="A154" t="s">
        <v>264</v>
      </c>
      <c r="B154">
        <v>1356.5527999999999</v>
      </c>
      <c r="C154">
        <v>37.904000000000003</v>
      </c>
      <c r="D154">
        <v>42.2879</v>
      </c>
      <c r="E154">
        <v>43.638399999999997</v>
      </c>
      <c r="F154">
        <v>16753.3553932</v>
      </c>
      <c r="G154">
        <v>12.1136159897</v>
      </c>
    </row>
    <row r="155" spans="1:7" x14ac:dyDescent="0.15">
      <c r="A155" t="s">
        <v>265</v>
      </c>
      <c r="B155">
        <v>682.08799999999997</v>
      </c>
      <c r="C155">
        <v>35.213999999999999</v>
      </c>
      <c r="D155">
        <v>40.781799999999997</v>
      </c>
      <c r="E155">
        <v>41.886699999999998</v>
      </c>
      <c r="F155">
        <v>12206.326729799999</v>
      </c>
      <c r="G155">
        <v>9.5216779708899999</v>
      </c>
    </row>
    <row r="156" spans="1:7" x14ac:dyDescent="0.15">
      <c r="A156" t="s">
        <v>266</v>
      </c>
      <c r="B156">
        <v>347.2072</v>
      </c>
      <c r="C156">
        <v>32.437800000000003</v>
      </c>
      <c r="D156">
        <v>39.363199999999999</v>
      </c>
      <c r="E156">
        <v>40.288699999999999</v>
      </c>
      <c r="F156">
        <v>8829.9984738799994</v>
      </c>
      <c r="G156">
        <v>8.18652915955</v>
      </c>
    </row>
    <row r="157" spans="1:7" x14ac:dyDescent="0.15">
      <c r="A157" t="s">
        <v>267</v>
      </c>
      <c r="B157">
        <v>5759.0816000000004</v>
      </c>
      <c r="C157">
        <v>38.7211</v>
      </c>
      <c r="D157">
        <v>42.2089</v>
      </c>
      <c r="E157">
        <v>43.447099999999999</v>
      </c>
      <c r="F157">
        <v>26358.5483313</v>
      </c>
      <c r="G157">
        <v>19.767950058</v>
      </c>
    </row>
    <row r="158" spans="1:7" x14ac:dyDescent="0.15">
      <c r="A158" t="s">
        <v>268</v>
      </c>
      <c r="B158">
        <v>2542.1943999999999</v>
      </c>
      <c r="C158">
        <v>35.24</v>
      </c>
      <c r="D158">
        <v>39.775700000000001</v>
      </c>
      <c r="E158">
        <v>40.854599999999998</v>
      </c>
      <c r="F158">
        <v>18043.400002499999</v>
      </c>
      <c r="G158">
        <v>14.907578945199999</v>
      </c>
    </row>
    <row r="159" spans="1:7" x14ac:dyDescent="0.15">
      <c r="A159" t="s">
        <v>269</v>
      </c>
      <c r="B159">
        <v>1224.6343999999999</v>
      </c>
      <c r="C159">
        <v>32.180100000000003</v>
      </c>
      <c r="D159">
        <v>38.024999999999999</v>
      </c>
      <c r="E159">
        <v>38.927399999999999</v>
      </c>
      <c r="F159">
        <v>12858.1253106</v>
      </c>
      <c r="G159">
        <v>11.083468913999999</v>
      </c>
    </row>
    <row r="160" spans="1:7" x14ac:dyDescent="0.15">
      <c r="A160" t="s">
        <v>270</v>
      </c>
      <c r="B160">
        <v>570.06320000000005</v>
      </c>
      <c r="C160">
        <v>29.321100000000001</v>
      </c>
      <c r="D160">
        <v>36.505899999999997</v>
      </c>
      <c r="E160">
        <v>37.242699999999999</v>
      </c>
      <c r="F160">
        <v>9109.9050891499992</v>
      </c>
      <c r="G160">
        <v>8.2647309303299998</v>
      </c>
    </row>
    <row r="161" spans="1:7" x14ac:dyDescent="0.15">
      <c r="A161" t="s">
        <v>271</v>
      </c>
      <c r="B161">
        <v>4316.5248000000001</v>
      </c>
      <c r="C161">
        <v>39.346299999999999</v>
      </c>
      <c r="D161">
        <v>41.611400000000003</v>
      </c>
      <c r="E161">
        <v>43.158200000000001</v>
      </c>
      <c r="F161">
        <v>26054.1618261</v>
      </c>
      <c r="G161">
        <v>13.7953660488</v>
      </c>
    </row>
    <row r="162" spans="1:7" x14ac:dyDescent="0.15">
      <c r="A162" t="s">
        <v>272</v>
      </c>
      <c r="B162">
        <v>1674.0488</v>
      </c>
      <c r="C162">
        <v>35.924100000000003</v>
      </c>
      <c r="D162">
        <v>39.476500000000001</v>
      </c>
      <c r="E162">
        <v>41.093800000000002</v>
      </c>
      <c r="F162">
        <v>17112.0956314</v>
      </c>
      <c r="G162">
        <v>9.4769048690800002</v>
      </c>
    </row>
    <row r="163" spans="1:7" x14ac:dyDescent="0.15">
      <c r="A163" t="s">
        <v>273</v>
      </c>
      <c r="B163">
        <v>795.85119999999995</v>
      </c>
      <c r="C163">
        <v>33.207900000000002</v>
      </c>
      <c r="D163">
        <v>37.878100000000003</v>
      </c>
      <c r="E163">
        <v>39.634999999999998</v>
      </c>
      <c r="F163">
        <v>11766.2714798</v>
      </c>
      <c r="G163">
        <v>7.0185310840600001</v>
      </c>
    </row>
    <row r="164" spans="1:7" x14ac:dyDescent="0.15">
      <c r="A164" t="s">
        <v>274</v>
      </c>
      <c r="B164">
        <v>382.17759999999998</v>
      </c>
      <c r="C164">
        <v>30.571300000000001</v>
      </c>
      <c r="D164">
        <v>36.4146</v>
      </c>
      <c r="E164">
        <v>38.288200000000003</v>
      </c>
      <c r="F164">
        <v>8185.6794819899997</v>
      </c>
      <c r="G164">
        <v>5.6384930610700001</v>
      </c>
    </row>
    <row r="165" spans="1:7" x14ac:dyDescent="0.15">
      <c r="A165" t="s">
        <v>275</v>
      </c>
      <c r="B165">
        <v>1318.3304000000001</v>
      </c>
      <c r="C165">
        <v>41.255699999999997</v>
      </c>
      <c r="D165">
        <v>44.617899999999999</v>
      </c>
      <c r="E165">
        <v>43.796599999999998</v>
      </c>
      <c r="F165">
        <v>7754.8282508900002</v>
      </c>
      <c r="G165">
        <v>4.8910610675799999</v>
      </c>
    </row>
    <row r="166" spans="1:7" x14ac:dyDescent="0.15">
      <c r="A166" t="s">
        <v>276</v>
      </c>
      <c r="B166">
        <v>627.18240000000003</v>
      </c>
      <c r="C166">
        <v>37.154800000000002</v>
      </c>
      <c r="D166">
        <v>42.054400000000001</v>
      </c>
      <c r="E166">
        <v>40.829099999999997</v>
      </c>
      <c r="F166">
        <v>5762.5763041999999</v>
      </c>
      <c r="G166">
        <v>3.6439990997299998</v>
      </c>
    </row>
    <row r="167" spans="1:7" x14ac:dyDescent="0.15">
      <c r="A167" t="s">
        <v>277</v>
      </c>
      <c r="B167">
        <v>316.14479999999998</v>
      </c>
      <c r="C167">
        <v>33.803100000000001</v>
      </c>
      <c r="D167">
        <v>40.279400000000003</v>
      </c>
      <c r="E167">
        <v>38.801499999999997</v>
      </c>
      <c r="F167">
        <v>4385.8777055700002</v>
      </c>
      <c r="G167">
        <v>2.7374210357700002</v>
      </c>
    </row>
    <row r="168" spans="1:7" x14ac:dyDescent="0.15">
      <c r="A168" t="s">
        <v>278</v>
      </c>
      <c r="B168">
        <v>158.26</v>
      </c>
      <c r="C168">
        <v>30.8522</v>
      </c>
      <c r="D168">
        <v>38.610599999999998</v>
      </c>
      <c r="E168">
        <v>36.9651</v>
      </c>
      <c r="F168">
        <v>3062.1095931499999</v>
      </c>
      <c r="G168">
        <v>2.1773080825800002</v>
      </c>
    </row>
    <row r="169" spans="1:7" x14ac:dyDescent="0.15">
      <c r="A169" t="s">
        <v>279</v>
      </c>
      <c r="B169">
        <v>1363.2424000000001</v>
      </c>
      <c r="C169">
        <v>38.433799999999998</v>
      </c>
      <c r="D169">
        <v>44.031500000000001</v>
      </c>
      <c r="E169">
        <v>45.386299999999999</v>
      </c>
      <c r="F169">
        <v>5660.5418512799997</v>
      </c>
      <c r="G169">
        <v>5.6009919643400004</v>
      </c>
    </row>
    <row r="170" spans="1:7" x14ac:dyDescent="0.15">
      <c r="A170" t="s">
        <v>280</v>
      </c>
      <c r="B170">
        <v>495.87759999999997</v>
      </c>
      <c r="C170">
        <v>35.149000000000001</v>
      </c>
      <c r="D170">
        <v>41.868000000000002</v>
      </c>
      <c r="E170">
        <v>43.127099999999999</v>
      </c>
      <c r="F170">
        <v>3052.4691595999998</v>
      </c>
      <c r="G170">
        <v>3.7340281009699998</v>
      </c>
    </row>
    <row r="171" spans="1:7" x14ac:dyDescent="0.15">
      <c r="A171" t="s">
        <v>281</v>
      </c>
      <c r="B171">
        <v>223.00239999999999</v>
      </c>
      <c r="C171">
        <v>32.399000000000001</v>
      </c>
      <c r="D171">
        <v>40.183500000000002</v>
      </c>
      <c r="E171">
        <v>41.3949</v>
      </c>
      <c r="F171">
        <v>1934.39670944</v>
      </c>
      <c r="G171">
        <v>3.0139670372</v>
      </c>
    </row>
    <row r="172" spans="1:7" x14ac:dyDescent="0.15">
      <c r="A172" t="s">
        <v>282</v>
      </c>
      <c r="B172">
        <v>114.4496</v>
      </c>
      <c r="C172">
        <v>29.840900000000001</v>
      </c>
      <c r="D172">
        <v>38.888199999999998</v>
      </c>
      <c r="E172">
        <v>39.963799999999999</v>
      </c>
      <c r="F172">
        <v>1266.7129967200001</v>
      </c>
      <c r="G172">
        <v>2.4233560562099998</v>
      </c>
    </row>
    <row r="173" spans="1:7" x14ac:dyDescent="0.15">
      <c r="A173" t="s">
        <v>283</v>
      </c>
      <c r="B173">
        <v>1389.9760000000001</v>
      </c>
      <c r="C173">
        <v>38.5152</v>
      </c>
      <c r="D173">
        <v>41.920299999999997</v>
      </c>
      <c r="E173">
        <v>43.050600000000003</v>
      </c>
      <c r="F173">
        <v>5559.5504477000004</v>
      </c>
      <c r="G173">
        <v>4.7696080207799998</v>
      </c>
    </row>
    <row r="174" spans="1:7" x14ac:dyDescent="0.15">
      <c r="A174" t="s">
        <v>284</v>
      </c>
      <c r="B174">
        <v>618.88319999999999</v>
      </c>
      <c r="C174">
        <v>35.138100000000001</v>
      </c>
      <c r="D174">
        <v>39.474899999999998</v>
      </c>
      <c r="E174">
        <v>40.369999999999997</v>
      </c>
      <c r="F174">
        <v>3861.0039038700002</v>
      </c>
      <c r="G174">
        <v>3.46259498596</v>
      </c>
    </row>
    <row r="175" spans="1:7" x14ac:dyDescent="0.15">
      <c r="A175" t="s">
        <v>285</v>
      </c>
      <c r="B175">
        <v>297.44880000000001</v>
      </c>
      <c r="C175">
        <v>32.103000000000002</v>
      </c>
      <c r="D175">
        <v>37.563499999999998</v>
      </c>
      <c r="E175">
        <v>38.303899999999999</v>
      </c>
      <c r="F175">
        <v>2780.2028451000001</v>
      </c>
      <c r="G175">
        <v>2.5048651695299999</v>
      </c>
    </row>
    <row r="176" spans="1:7" x14ac:dyDescent="0.15">
      <c r="A176" t="s">
        <v>286</v>
      </c>
      <c r="B176">
        <v>137.5008</v>
      </c>
      <c r="C176">
        <v>29.2179</v>
      </c>
      <c r="D176">
        <v>35.937399999999997</v>
      </c>
      <c r="E176">
        <v>36.505099999999999</v>
      </c>
      <c r="F176">
        <v>1921.54109311</v>
      </c>
      <c r="G176">
        <v>1.9413471221900001</v>
      </c>
    </row>
    <row r="177" spans="1:7" x14ac:dyDescent="0.15">
      <c r="A177" t="s">
        <v>287</v>
      </c>
      <c r="B177" s="69">
        <v>1052.3648000000001</v>
      </c>
      <c r="C177" s="69">
        <v>39.885199999999998</v>
      </c>
      <c r="D177" s="69">
        <v>42.002899999999997</v>
      </c>
      <c r="E177" s="69">
        <v>43.050600000000003</v>
      </c>
      <c r="F177" s="69">
        <v>5498.9615180500004</v>
      </c>
      <c r="G177" s="69">
        <v>3.6234149932899999</v>
      </c>
    </row>
    <row r="178" spans="1:7" x14ac:dyDescent="0.15">
      <c r="A178" t="s">
        <v>288</v>
      </c>
      <c r="B178" s="69">
        <v>497.38</v>
      </c>
      <c r="C178" s="69">
        <v>35.9358</v>
      </c>
      <c r="D178" s="69">
        <v>39.348599999999998</v>
      </c>
      <c r="E178" s="69">
        <v>40.505600000000001</v>
      </c>
      <c r="F178" s="69">
        <v>3869.6049203900002</v>
      </c>
      <c r="G178" s="69">
        <v>2.7932481765700001</v>
      </c>
    </row>
    <row r="179" spans="1:7" x14ac:dyDescent="0.15">
      <c r="A179" t="s">
        <v>289</v>
      </c>
      <c r="B179" s="69">
        <v>248.8896</v>
      </c>
      <c r="C179" s="69">
        <v>32.638399999999997</v>
      </c>
      <c r="D179" s="69">
        <v>37.509799999999998</v>
      </c>
      <c r="E179" s="69">
        <v>38.773099999999999</v>
      </c>
      <c r="F179" s="69">
        <v>2914.7976155299998</v>
      </c>
      <c r="G179" s="69">
        <v>1.91435194016</v>
      </c>
    </row>
    <row r="180" spans="1:7" x14ac:dyDescent="0.15">
      <c r="A180" t="s">
        <v>290</v>
      </c>
      <c r="B180" s="69">
        <v>120.3344</v>
      </c>
      <c r="C180" s="69">
        <v>29.705300000000001</v>
      </c>
      <c r="D180" s="69">
        <v>35.9636</v>
      </c>
      <c r="E180" s="69">
        <v>37.102899999999998</v>
      </c>
      <c r="F180" s="69">
        <v>1980.55928421</v>
      </c>
      <c r="G180" s="69">
        <v>1.4866349697100001</v>
      </c>
    </row>
    <row r="181" spans="1:7" x14ac:dyDescent="0.15">
      <c r="A181" t="s">
        <v>291</v>
      </c>
      <c r="B181" s="69"/>
      <c r="C181" s="69"/>
      <c r="D181" s="69"/>
      <c r="E181" s="69"/>
      <c r="F181" s="69"/>
      <c r="G181" s="69"/>
    </row>
    <row r="182" spans="1:7" x14ac:dyDescent="0.15">
      <c r="A182" t="s">
        <v>292</v>
      </c>
      <c r="B182" s="69"/>
      <c r="C182" s="69"/>
      <c r="D182" s="69"/>
      <c r="E182" s="69"/>
      <c r="F182" s="69"/>
      <c r="G182" s="69"/>
    </row>
    <row r="183" spans="1:7" x14ac:dyDescent="0.15">
      <c r="A183" t="s">
        <v>293</v>
      </c>
      <c r="B183" s="69"/>
      <c r="C183" s="69"/>
      <c r="D183" s="69"/>
      <c r="E183" s="69"/>
      <c r="F183" s="69"/>
      <c r="G183" s="69"/>
    </row>
    <row r="184" spans="1:7" x14ac:dyDescent="0.15">
      <c r="A184" t="s">
        <v>294</v>
      </c>
      <c r="B184" s="69"/>
      <c r="C184" s="69"/>
      <c r="D184" s="69"/>
      <c r="E184" s="69"/>
      <c r="F184" s="69"/>
      <c r="G184" s="69"/>
    </row>
    <row r="185" spans="1:7" x14ac:dyDescent="0.15">
      <c r="A185" t="s">
        <v>295</v>
      </c>
      <c r="B185" s="69"/>
      <c r="C185" s="69"/>
      <c r="D185" s="69"/>
      <c r="E185" s="69"/>
      <c r="F185" s="69"/>
      <c r="G185" s="69"/>
    </row>
    <row r="186" spans="1:7" x14ac:dyDescent="0.15">
      <c r="A186" t="s">
        <v>296</v>
      </c>
      <c r="B186" s="69"/>
      <c r="C186" s="69"/>
      <c r="D186" s="69"/>
      <c r="E186" s="69"/>
      <c r="F186" s="69"/>
      <c r="G186" s="69"/>
    </row>
    <row r="187" spans="1:7" x14ac:dyDescent="0.15">
      <c r="A187" t="s">
        <v>297</v>
      </c>
      <c r="B187" s="69"/>
      <c r="C187" s="69"/>
      <c r="D187" s="69"/>
      <c r="E187" s="69"/>
      <c r="F187" s="69"/>
      <c r="G187" s="69"/>
    </row>
    <row r="188" spans="1:7" x14ac:dyDescent="0.15">
      <c r="A188" t="s">
        <v>298</v>
      </c>
      <c r="B188" s="69"/>
      <c r="C188" s="69"/>
      <c r="D188" s="69"/>
      <c r="E188" s="69"/>
      <c r="F188" s="69"/>
      <c r="G188" s="69"/>
    </row>
    <row r="189" spans="1:7" x14ac:dyDescent="0.15">
      <c r="A189" t="s">
        <v>299</v>
      </c>
      <c r="B189" s="69"/>
      <c r="C189" s="69"/>
      <c r="D189" s="69"/>
      <c r="E189" s="69"/>
      <c r="F189" s="69"/>
      <c r="G189" s="69"/>
    </row>
    <row r="190" spans="1:7" x14ac:dyDescent="0.15">
      <c r="A190" t="s">
        <v>300</v>
      </c>
      <c r="B190" s="69"/>
      <c r="C190" s="69"/>
      <c r="D190" s="69"/>
      <c r="E190" s="69"/>
      <c r="F190" s="69"/>
      <c r="G190" s="69"/>
    </row>
    <row r="191" spans="1:7" x14ac:dyDescent="0.15">
      <c r="A191" t="s">
        <v>301</v>
      </c>
      <c r="B191" s="69"/>
      <c r="C191" s="69"/>
      <c r="D191" s="69"/>
      <c r="E191" s="69"/>
      <c r="F191" s="69"/>
      <c r="G191" s="69"/>
    </row>
    <row r="192" spans="1:7" x14ac:dyDescent="0.15">
      <c r="A192" t="s">
        <v>302</v>
      </c>
      <c r="B192" s="69"/>
      <c r="C192" s="69"/>
      <c r="D192" s="69"/>
      <c r="E192" s="69"/>
      <c r="F192" s="69"/>
      <c r="G192" s="69"/>
    </row>
    <row r="193" spans="1:7" x14ac:dyDescent="0.15">
      <c r="A193" t="s">
        <v>303</v>
      </c>
      <c r="B193" s="69">
        <v>3056.4535999999998</v>
      </c>
      <c r="C193" s="69">
        <v>41.395099999999999</v>
      </c>
      <c r="D193" s="69">
        <v>43.716099999999997</v>
      </c>
      <c r="E193" s="69">
        <v>44.452500000000001</v>
      </c>
      <c r="F193" s="69">
        <v>25541.437580099999</v>
      </c>
      <c r="G193" s="69">
        <v>15.3053429127</v>
      </c>
    </row>
    <row r="194" spans="1:7" x14ac:dyDescent="0.15">
      <c r="A194" t="s">
        <v>304</v>
      </c>
      <c r="B194" s="69">
        <v>1446.1912</v>
      </c>
      <c r="C194" s="69">
        <v>38.082799999999999</v>
      </c>
      <c r="D194" s="69">
        <v>41.253300000000003</v>
      </c>
      <c r="E194" s="69">
        <v>41.6524</v>
      </c>
      <c r="F194" s="69">
        <v>19720.832559099999</v>
      </c>
      <c r="G194" s="69">
        <v>11.4953279495</v>
      </c>
    </row>
    <row r="195" spans="1:7" x14ac:dyDescent="0.15">
      <c r="A195" t="s">
        <v>305</v>
      </c>
      <c r="B195" s="69">
        <v>744.8</v>
      </c>
      <c r="C195" s="69">
        <v>35.073</v>
      </c>
      <c r="D195" s="69">
        <v>39.265799999999999</v>
      </c>
      <c r="E195" s="69">
        <v>39.517699999999998</v>
      </c>
      <c r="F195" s="69">
        <v>13690.089308500001</v>
      </c>
      <c r="G195" s="69">
        <v>10.040549993500001</v>
      </c>
    </row>
    <row r="196" spans="1:7" x14ac:dyDescent="0.15">
      <c r="A196" t="s">
        <v>306</v>
      </c>
      <c r="B196" s="69">
        <v>387.6816</v>
      </c>
      <c r="C196" s="69">
        <v>32.317100000000003</v>
      </c>
      <c r="D196" s="69">
        <v>37.4985</v>
      </c>
      <c r="E196" s="69">
        <v>37.625599999999999</v>
      </c>
      <c r="F196" s="69">
        <v>9588.2202005399995</v>
      </c>
      <c r="G196" s="69">
        <v>6.9216380119299998</v>
      </c>
    </row>
    <row r="197" spans="1:7" x14ac:dyDescent="0.15">
      <c r="A197" t="s">
        <v>307</v>
      </c>
      <c r="B197" s="69">
        <v>11909.4264</v>
      </c>
      <c r="C197" s="69">
        <v>43.031599999999997</v>
      </c>
      <c r="D197" s="69">
        <v>45.107300000000002</v>
      </c>
      <c r="E197" s="69">
        <v>45.696199999999997</v>
      </c>
      <c r="F197" s="69">
        <v>99308.585160000002</v>
      </c>
      <c r="G197" s="69">
        <v>79.420794010199998</v>
      </c>
    </row>
    <row r="198" spans="1:7" x14ac:dyDescent="0.15">
      <c r="A198" t="s">
        <v>308</v>
      </c>
      <c r="B198" s="69">
        <v>5122.9575999999997</v>
      </c>
      <c r="C198" s="69">
        <v>39.67</v>
      </c>
      <c r="D198" s="69">
        <v>42.490900000000003</v>
      </c>
      <c r="E198" s="69">
        <v>42.8855</v>
      </c>
      <c r="F198" s="69">
        <v>68306.957779899996</v>
      </c>
      <c r="G198" s="69">
        <v>56.152381181700001</v>
      </c>
    </row>
    <row r="199" spans="1:7" x14ac:dyDescent="0.15">
      <c r="A199" t="s">
        <v>309</v>
      </c>
      <c r="B199" s="69">
        <v>2501.7640000000001</v>
      </c>
      <c r="C199" s="69">
        <v>36.773099999999999</v>
      </c>
      <c r="D199" s="69">
        <v>40.544199999999996</v>
      </c>
      <c r="E199" s="69">
        <v>40.804499999999997</v>
      </c>
      <c r="F199" s="69">
        <v>51583.223952</v>
      </c>
      <c r="G199" s="69">
        <v>45.582279920600001</v>
      </c>
    </row>
    <row r="200" spans="1:7" x14ac:dyDescent="0.15">
      <c r="A200" t="s">
        <v>310</v>
      </c>
      <c r="B200" s="69">
        <v>1251.8047999999999</v>
      </c>
      <c r="C200" s="69">
        <v>34.042499999999997</v>
      </c>
      <c r="D200" s="69">
        <v>38.729199999999999</v>
      </c>
      <c r="E200" s="69">
        <v>38.862299999999998</v>
      </c>
      <c r="F200" s="69">
        <v>37500.131451399997</v>
      </c>
      <c r="G200" s="69">
        <v>36.090596914300001</v>
      </c>
    </row>
    <row r="201" spans="1:7" x14ac:dyDescent="0.15">
      <c r="A201" t="s">
        <v>311</v>
      </c>
      <c r="B201" s="69">
        <v>1269.5152</v>
      </c>
      <c r="C201" s="69">
        <v>50.044800000000002</v>
      </c>
      <c r="D201" s="69">
        <v>48.080199999999998</v>
      </c>
      <c r="E201" s="69">
        <v>48.286499999999997</v>
      </c>
      <c r="F201" s="69">
        <v>4334.0979049199996</v>
      </c>
      <c r="G201" s="69">
        <v>6.9462909698499997</v>
      </c>
    </row>
    <row r="202" spans="1:7" x14ac:dyDescent="0.15">
      <c r="A202" t="s">
        <v>312</v>
      </c>
      <c r="B202" s="69">
        <v>957.40959999999995</v>
      </c>
      <c r="C202" s="69">
        <v>45.833399999999997</v>
      </c>
      <c r="D202" s="69">
        <v>43.530700000000003</v>
      </c>
      <c r="E202" s="69">
        <v>44.139600000000002</v>
      </c>
      <c r="F202" s="69">
        <v>3721.6219379899999</v>
      </c>
      <c r="G202" s="69">
        <v>6.7808730602300002</v>
      </c>
    </row>
    <row r="203" spans="1:7" x14ac:dyDescent="0.15">
      <c r="A203" t="s">
        <v>313</v>
      </c>
      <c r="B203" s="69">
        <v>739.46320000000003</v>
      </c>
      <c r="C203" s="69">
        <v>41.294699999999999</v>
      </c>
      <c r="D203" s="69">
        <v>40.659799999999997</v>
      </c>
      <c r="E203" s="69">
        <v>41.555999999999997</v>
      </c>
      <c r="F203" s="69">
        <v>3310.3394288999998</v>
      </c>
      <c r="G203" s="69">
        <v>6.3876788616200004</v>
      </c>
    </row>
    <row r="204" spans="1:7" x14ac:dyDescent="0.15">
      <c r="A204" t="s">
        <v>314</v>
      </c>
      <c r="B204" s="69">
        <v>562.19119999999998</v>
      </c>
      <c r="C204" s="69">
        <v>36.428800000000003</v>
      </c>
      <c r="D204" s="69">
        <v>38.872500000000002</v>
      </c>
      <c r="E204" s="69">
        <v>39.9666</v>
      </c>
      <c r="F204" s="69">
        <v>2977.4853165200002</v>
      </c>
      <c r="G204" s="69">
        <v>5.9552669525099997</v>
      </c>
    </row>
    <row r="205" spans="1:7" x14ac:dyDescent="0.15">
      <c r="A205" t="s">
        <v>315</v>
      </c>
      <c r="B205" s="69">
        <v>694.71619999999996</v>
      </c>
      <c r="C205" s="69">
        <v>52.062399999999997</v>
      </c>
      <c r="D205" s="69">
        <v>55.270499999999998</v>
      </c>
      <c r="E205" s="69">
        <v>56.278799999999997</v>
      </c>
      <c r="F205" s="69">
        <v>12015.546579100001</v>
      </c>
      <c r="G205" s="69">
        <v>15.0380840302</v>
      </c>
    </row>
    <row r="206" spans="1:7" x14ac:dyDescent="0.15">
      <c r="A206" t="s">
        <v>316</v>
      </c>
      <c r="B206" s="69">
        <v>409.279</v>
      </c>
      <c r="C206" s="69">
        <v>48.136400000000002</v>
      </c>
      <c r="D206" s="69">
        <v>52.3352</v>
      </c>
      <c r="E206" s="69">
        <v>53.460299999999997</v>
      </c>
      <c r="F206" s="69">
        <v>9608.8985471699998</v>
      </c>
      <c r="G206" s="69">
        <v>13.7345740795</v>
      </c>
    </row>
    <row r="207" spans="1:7" x14ac:dyDescent="0.15">
      <c r="A207" t="s">
        <v>317</v>
      </c>
      <c r="B207" s="69">
        <v>259.95139999999998</v>
      </c>
      <c r="C207" s="69">
        <v>44.5777</v>
      </c>
      <c r="D207" s="69">
        <v>49.864100000000001</v>
      </c>
      <c r="E207" s="69">
        <v>51.073799999999999</v>
      </c>
      <c r="F207" s="69">
        <v>7427.7933266199998</v>
      </c>
      <c r="G207" s="69">
        <v>13.4299030304</v>
      </c>
    </row>
    <row r="208" spans="1:7" x14ac:dyDescent="0.15">
      <c r="A208" t="s">
        <v>318</v>
      </c>
      <c r="B208" s="69">
        <v>167.11070000000001</v>
      </c>
      <c r="C208" s="69">
        <v>41.054099999999998</v>
      </c>
      <c r="D208" s="69">
        <v>47.695999999999998</v>
      </c>
      <c r="E208" s="69">
        <v>49.327599999999997</v>
      </c>
      <c r="F208" s="69">
        <v>5763.6436226400001</v>
      </c>
      <c r="G208" s="69">
        <v>11.964974164999999</v>
      </c>
    </row>
    <row r="209" spans="1:7" x14ac:dyDescent="0.15">
      <c r="A209" t="s">
        <v>319</v>
      </c>
      <c r="B209" s="69"/>
      <c r="C209" s="69"/>
      <c r="D209" s="69"/>
      <c r="E209" s="69"/>
      <c r="F209" s="69"/>
      <c r="G209" s="69"/>
    </row>
    <row r="210" spans="1:7" x14ac:dyDescent="0.15">
      <c r="A210" t="s">
        <v>320</v>
      </c>
      <c r="B210" s="69"/>
      <c r="C210" s="69"/>
      <c r="D210" s="69"/>
      <c r="E210" s="69"/>
      <c r="F210" s="69"/>
      <c r="G210" s="69"/>
    </row>
    <row r="211" spans="1:7" x14ac:dyDescent="0.15">
      <c r="A211" t="s">
        <v>321</v>
      </c>
      <c r="B211" s="69"/>
      <c r="C211" s="69"/>
      <c r="D211" s="69"/>
      <c r="E211" s="69"/>
      <c r="F211" s="69"/>
      <c r="G211" s="69"/>
    </row>
    <row r="212" spans="1:7" x14ac:dyDescent="0.15">
      <c r="A212" t="s">
        <v>322</v>
      </c>
      <c r="B212" s="69"/>
      <c r="C212" s="69"/>
      <c r="D212" s="69"/>
      <c r="E212" s="69"/>
      <c r="F212" s="69"/>
      <c r="G212" s="69"/>
    </row>
    <row r="213" spans="1:7" x14ac:dyDescent="0.15">
      <c r="A213" t="s">
        <v>323</v>
      </c>
      <c r="B213" s="69"/>
      <c r="C213" s="69"/>
      <c r="D213" s="69"/>
      <c r="E213" s="69"/>
      <c r="F213" s="69"/>
      <c r="G213" s="69"/>
    </row>
    <row r="214" spans="1:7" x14ac:dyDescent="0.15">
      <c r="A214" t="s">
        <v>324</v>
      </c>
      <c r="B214" s="69"/>
      <c r="C214" s="69"/>
      <c r="D214" s="69"/>
      <c r="E214" s="69"/>
      <c r="F214" s="69"/>
      <c r="G214" s="69"/>
    </row>
    <row r="215" spans="1:7" x14ac:dyDescent="0.15">
      <c r="A215" t="s">
        <v>325</v>
      </c>
      <c r="B215" s="69"/>
      <c r="C215" s="69"/>
      <c r="D215" s="69"/>
      <c r="E215" s="69"/>
      <c r="F215" s="69"/>
      <c r="G215" s="69"/>
    </row>
    <row r="216" spans="1:7" x14ac:dyDescent="0.15">
      <c r="A216" t="s">
        <v>326</v>
      </c>
      <c r="B216" s="69"/>
      <c r="C216" s="69"/>
      <c r="D216" s="69"/>
      <c r="E216" s="69"/>
      <c r="F216" s="69"/>
      <c r="G216" s="69"/>
    </row>
    <row r="217" spans="1:7" x14ac:dyDescent="0.15">
      <c r="A217" t="s">
        <v>327</v>
      </c>
      <c r="B217" s="69"/>
      <c r="C217" s="69"/>
      <c r="D217" s="69"/>
      <c r="E217" s="69"/>
      <c r="F217" s="69"/>
      <c r="G217" s="69"/>
    </row>
    <row r="218" spans="1:7" x14ac:dyDescent="0.15">
      <c r="A218" t="s">
        <v>328</v>
      </c>
      <c r="B218" s="69"/>
      <c r="C218" s="69"/>
      <c r="D218" s="69"/>
      <c r="E218" s="69"/>
      <c r="F218" s="69"/>
      <c r="G218" s="69"/>
    </row>
    <row r="219" spans="1:7" x14ac:dyDescent="0.15">
      <c r="A219" t="s">
        <v>329</v>
      </c>
      <c r="B219" s="69"/>
      <c r="C219" s="69"/>
      <c r="D219" s="69"/>
      <c r="E219" s="69"/>
      <c r="F219" s="69"/>
      <c r="G219" s="69"/>
    </row>
    <row r="220" spans="1:7" x14ac:dyDescent="0.15">
      <c r="A220" t="s">
        <v>330</v>
      </c>
      <c r="B220" s="69"/>
      <c r="C220" s="69"/>
      <c r="D220" s="69"/>
      <c r="E220" s="69"/>
      <c r="F220" s="69"/>
      <c r="G220" s="69"/>
    </row>
    <row r="221" spans="1:7" x14ac:dyDescent="0.15">
      <c r="A221" t="s">
        <v>331</v>
      </c>
      <c r="B221" s="69"/>
      <c r="C221" s="69"/>
      <c r="D221" s="69"/>
      <c r="E221" s="69"/>
      <c r="F221" s="69"/>
      <c r="G221" s="69"/>
    </row>
    <row r="222" spans="1:7" x14ac:dyDescent="0.15">
      <c r="A222" t="s">
        <v>332</v>
      </c>
      <c r="B222" s="69"/>
      <c r="C222" s="69"/>
      <c r="D222" s="69"/>
      <c r="E222" s="69"/>
      <c r="F222" s="69"/>
      <c r="G222" s="69"/>
    </row>
    <row r="223" spans="1:7" x14ac:dyDescent="0.15">
      <c r="A223" t="s">
        <v>333</v>
      </c>
      <c r="B223" s="69"/>
      <c r="C223" s="69"/>
      <c r="D223" s="69"/>
      <c r="E223" s="69"/>
      <c r="F223" s="69"/>
      <c r="G223" s="69"/>
    </row>
    <row r="224" spans="1:7" x14ac:dyDescent="0.15">
      <c r="A224" t="s">
        <v>334</v>
      </c>
      <c r="B224" s="69"/>
      <c r="C224" s="69"/>
      <c r="D224" s="69"/>
      <c r="E224" s="69"/>
      <c r="F224" s="69"/>
      <c r="G224" s="69"/>
    </row>
    <row r="225" spans="1:7" x14ac:dyDescent="0.15">
      <c r="A225" t="s">
        <v>335</v>
      </c>
      <c r="B225" s="69"/>
      <c r="C225" s="69"/>
      <c r="D225" s="69"/>
      <c r="E225" s="69"/>
      <c r="F225" s="69"/>
      <c r="G225" s="69"/>
    </row>
    <row r="226" spans="1:7" x14ac:dyDescent="0.15">
      <c r="A226" t="s">
        <v>336</v>
      </c>
      <c r="B226" s="69"/>
      <c r="C226" s="69"/>
      <c r="D226" s="69"/>
      <c r="E226" s="69"/>
      <c r="F226" s="69"/>
      <c r="G226" s="69"/>
    </row>
    <row r="227" spans="1:7" x14ac:dyDescent="0.15">
      <c r="A227" t="s">
        <v>337</v>
      </c>
      <c r="B227" s="69"/>
      <c r="C227" s="69"/>
      <c r="D227" s="69"/>
      <c r="E227" s="69"/>
      <c r="F227" s="69"/>
      <c r="G227" s="69"/>
    </row>
    <row r="228" spans="1:7" x14ac:dyDescent="0.15">
      <c r="A228" t="s">
        <v>338</v>
      </c>
      <c r="B228" s="69"/>
      <c r="C228" s="69"/>
      <c r="D228" s="69"/>
      <c r="E228" s="69"/>
      <c r="F228" s="69"/>
      <c r="G228" s="69"/>
    </row>
    <row r="229" spans="1:7" x14ac:dyDescent="0.15">
      <c r="A229" t="s">
        <v>339</v>
      </c>
      <c r="B229" s="69"/>
      <c r="C229" s="69"/>
      <c r="D229" s="69"/>
      <c r="E229" s="69"/>
      <c r="F229" s="69"/>
      <c r="G229" s="69"/>
    </row>
    <row r="230" spans="1:7" x14ac:dyDescent="0.15">
      <c r="A230" t="s">
        <v>340</v>
      </c>
      <c r="B230" s="69"/>
      <c r="C230" s="69"/>
      <c r="D230" s="69"/>
      <c r="E230" s="69"/>
      <c r="F230" s="69"/>
      <c r="G230" s="69"/>
    </row>
    <row r="231" spans="1:7" x14ac:dyDescent="0.15">
      <c r="A231" t="s">
        <v>341</v>
      </c>
      <c r="B231" s="69"/>
      <c r="C231" s="69"/>
      <c r="D231" s="69"/>
      <c r="E231" s="69"/>
      <c r="F231" s="69"/>
      <c r="G231" s="69"/>
    </row>
    <row r="232" spans="1:7" x14ac:dyDescent="0.15">
      <c r="A232" t="s">
        <v>342</v>
      </c>
      <c r="B232" s="69"/>
      <c r="C232" s="69"/>
      <c r="D232" s="69"/>
      <c r="E232" s="69"/>
      <c r="F232" s="69"/>
      <c r="G232" s="69"/>
    </row>
    <row r="233" spans="1:7" x14ac:dyDescent="0.15">
      <c r="A233" t="s">
        <v>343</v>
      </c>
      <c r="B233" s="69">
        <v>17972.367200000001</v>
      </c>
      <c r="C233" s="69">
        <v>41.013100000000001</v>
      </c>
      <c r="D233" s="69">
        <v>44.077599999999997</v>
      </c>
      <c r="E233" s="69">
        <v>44.792099999999998</v>
      </c>
      <c r="F233" s="69">
        <v>199538.30100199999</v>
      </c>
      <c r="G233" s="69">
        <v>98.432725191100005</v>
      </c>
    </row>
    <row r="234" spans="1:7" x14ac:dyDescent="0.15">
      <c r="A234" t="s">
        <v>344</v>
      </c>
      <c r="B234" s="69">
        <v>6665.3335999999999</v>
      </c>
      <c r="C234" s="69">
        <v>38.578200000000002</v>
      </c>
      <c r="D234" s="69">
        <v>42.177100000000003</v>
      </c>
      <c r="E234" s="69">
        <v>43.0807</v>
      </c>
      <c r="F234" s="69">
        <v>109679.949871</v>
      </c>
      <c r="G234" s="69">
        <v>75.846556901900001</v>
      </c>
    </row>
    <row r="235" spans="1:7" x14ac:dyDescent="0.15">
      <c r="A235" t="s">
        <v>345</v>
      </c>
      <c r="B235" s="69">
        <v>2971.6464000000001</v>
      </c>
      <c r="C235" s="69">
        <v>36.162599999999998</v>
      </c>
      <c r="D235" s="69">
        <v>40.764800000000001</v>
      </c>
      <c r="E235" s="69">
        <v>41.716200000000001</v>
      </c>
      <c r="F235" s="69">
        <v>75181.663181099997</v>
      </c>
      <c r="G235" s="69">
        <v>61.268711090099998</v>
      </c>
    </row>
    <row r="236" spans="1:7" x14ac:dyDescent="0.15">
      <c r="A236" t="s">
        <v>346</v>
      </c>
      <c r="B236" s="69">
        <v>1341.9495999999999</v>
      </c>
      <c r="C236" s="69">
        <v>33.722299999999997</v>
      </c>
      <c r="D236" s="69">
        <v>39.767000000000003</v>
      </c>
      <c r="E236" s="69">
        <v>40.681600000000003</v>
      </c>
      <c r="F236" s="69">
        <v>51582.6769948</v>
      </c>
      <c r="G236" s="69">
        <v>48.219875097299997</v>
      </c>
    </row>
    <row r="237" spans="1:7" x14ac:dyDescent="0.15">
      <c r="A237" t="s">
        <v>347</v>
      </c>
      <c r="B237" s="69">
        <v>11087.5488</v>
      </c>
      <c r="C237" s="69">
        <v>44.291699999999999</v>
      </c>
      <c r="D237" s="69">
        <v>47.091500000000003</v>
      </c>
      <c r="E237" s="69">
        <v>47.8125</v>
      </c>
      <c r="F237" s="69">
        <v>176231.13698099999</v>
      </c>
      <c r="G237" s="69">
        <v>89.153604030599993</v>
      </c>
    </row>
    <row r="238" spans="1:7" x14ac:dyDescent="0.15">
      <c r="A238" t="s">
        <v>348</v>
      </c>
      <c r="B238" s="69">
        <v>5545.9376000000002</v>
      </c>
      <c r="C238" s="69">
        <v>41.007199999999997</v>
      </c>
      <c r="D238" s="69">
        <v>44.716299999999997</v>
      </c>
      <c r="E238" s="69">
        <v>45.240699999999997</v>
      </c>
      <c r="F238" s="69">
        <v>120575.133241</v>
      </c>
      <c r="G238" s="69">
        <v>75.662334203699999</v>
      </c>
    </row>
    <row r="239" spans="1:7" x14ac:dyDescent="0.15">
      <c r="A239" t="s">
        <v>349</v>
      </c>
      <c r="B239" s="69">
        <v>2943.5255999999999</v>
      </c>
      <c r="C239" s="69">
        <v>37.879600000000003</v>
      </c>
      <c r="D239" s="69">
        <v>43.139800000000001</v>
      </c>
      <c r="E239" s="69">
        <v>43.509300000000003</v>
      </c>
      <c r="F239" s="69">
        <v>92083.935907100007</v>
      </c>
      <c r="G239" s="69">
        <v>62.986030101799997</v>
      </c>
    </row>
    <row r="240" spans="1:7" x14ac:dyDescent="0.15">
      <c r="A240" t="s">
        <v>350</v>
      </c>
      <c r="B240" s="69">
        <v>1599.3263999999999</v>
      </c>
      <c r="C240" s="69">
        <v>35.038200000000003</v>
      </c>
      <c r="D240" s="69">
        <v>42.057499999999997</v>
      </c>
      <c r="E240" s="69">
        <v>42.214100000000002</v>
      </c>
      <c r="F240" s="69">
        <v>65642.715859200005</v>
      </c>
      <c r="G240" s="69">
        <v>51.245969057099998</v>
      </c>
    </row>
    <row r="241" spans="1:7" x14ac:dyDescent="0.15">
      <c r="A241" t="s">
        <v>351</v>
      </c>
      <c r="B241" s="69">
        <v>18658.508000000002</v>
      </c>
      <c r="C241" s="69">
        <v>38.9223</v>
      </c>
      <c r="D241" s="69">
        <v>40.418100000000003</v>
      </c>
      <c r="E241" s="69">
        <v>43.638100000000001</v>
      </c>
      <c r="F241" s="69">
        <v>167072.193612</v>
      </c>
      <c r="G241" s="69">
        <v>82.449419021599994</v>
      </c>
    </row>
    <row r="242" spans="1:7" x14ac:dyDescent="0.15">
      <c r="A242" t="s">
        <v>352</v>
      </c>
      <c r="B242" s="69">
        <v>4709.7488000000003</v>
      </c>
      <c r="C242" s="69">
        <v>36.914999999999999</v>
      </c>
      <c r="D242" s="69">
        <v>39.136499999999998</v>
      </c>
      <c r="E242" s="69">
        <v>41.814500000000002</v>
      </c>
      <c r="F242" s="69">
        <v>90557.893364000003</v>
      </c>
      <c r="G242" s="69">
        <v>52.774746894800003</v>
      </c>
    </row>
    <row r="243" spans="1:7" x14ac:dyDescent="0.15">
      <c r="A243" t="s">
        <v>353</v>
      </c>
      <c r="B243" s="69">
        <v>2117.6896000000002</v>
      </c>
      <c r="C243" s="69">
        <v>34.862099999999998</v>
      </c>
      <c r="D243" s="69">
        <v>38.292400000000001</v>
      </c>
      <c r="E243" s="69">
        <v>40.330399999999997</v>
      </c>
      <c r="F243" s="69">
        <v>62734.819886899997</v>
      </c>
      <c r="G243" s="69">
        <v>43.037086010000003</v>
      </c>
    </row>
    <row r="244" spans="1:7" x14ac:dyDescent="0.15">
      <c r="A244" t="s">
        <v>354</v>
      </c>
      <c r="B244" s="69">
        <v>1037.26</v>
      </c>
      <c r="C244" s="69">
        <v>32.654600000000002</v>
      </c>
      <c r="D244" s="69">
        <v>37.5563</v>
      </c>
      <c r="E244" s="69">
        <v>39.104500000000002</v>
      </c>
      <c r="F244" s="69">
        <v>44891.048458099998</v>
      </c>
      <c r="G244" s="69">
        <v>36.441200971599997</v>
      </c>
    </row>
    <row r="245" spans="1:7" x14ac:dyDescent="0.15">
      <c r="A245" t="s">
        <v>355</v>
      </c>
      <c r="B245" s="69">
        <v>17528.4656</v>
      </c>
      <c r="C245" s="69">
        <v>39.6569</v>
      </c>
      <c r="D245" s="69">
        <v>44.096600000000002</v>
      </c>
      <c r="E245" s="69">
        <v>45.569899999999997</v>
      </c>
      <c r="F245" s="69">
        <v>212363.575105</v>
      </c>
      <c r="G245" s="69">
        <v>85.570391178099996</v>
      </c>
    </row>
    <row r="246" spans="1:7" x14ac:dyDescent="0.15">
      <c r="A246" t="s">
        <v>356</v>
      </c>
      <c r="B246" s="69">
        <v>5627.3023999999996</v>
      </c>
      <c r="C246" s="69">
        <v>37.738399999999999</v>
      </c>
      <c r="D246" s="69">
        <v>42.785400000000003</v>
      </c>
      <c r="E246" s="69">
        <v>43.487499999999997</v>
      </c>
      <c r="F246" s="69">
        <v>123142.111344</v>
      </c>
      <c r="G246" s="69">
        <v>64.344434976599999</v>
      </c>
    </row>
    <row r="247" spans="1:7" x14ac:dyDescent="0.15">
      <c r="A247" t="s">
        <v>357</v>
      </c>
      <c r="B247" s="69">
        <v>2677.1687999999999</v>
      </c>
      <c r="C247" s="69">
        <v>35.882199999999997</v>
      </c>
      <c r="D247" s="69">
        <v>41.6631</v>
      </c>
      <c r="E247" s="69">
        <v>41.901800000000001</v>
      </c>
      <c r="F247" s="69">
        <v>81235.699633099997</v>
      </c>
      <c r="G247" s="69">
        <v>53.942339181900003</v>
      </c>
    </row>
    <row r="248" spans="1:7" x14ac:dyDescent="0.15">
      <c r="A248" t="s">
        <v>358</v>
      </c>
      <c r="B248" s="69">
        <v>1391.9552000000001</v>
      </c>
      <c r="C248" s="69">
        <v>33.9039</v>
      </c>
      <c r="D248" s="69">
        <v>40.687100000000001</v>
      </c>
      <c r="E248" s="69">
        <v>40.509700000000002</v>
      </c>
      <c r="F248" s="69">
        <v>54816.362231999999</v>
      </c>
      <c r="G248" s="69">
        <v>46.3870360851</v>
      </c>
    </row>
    <row r="249" spans="1:7" x14ac:dyDescent="0.15">
      <c r="A249" t="s">
        <v>359</v>
      </c>
      <c r="B249" s="69">
        <v>51949.196000000004</v>
      </c>
      <c r="C249" s="69">
        <v>38.421500000000002</v>
      </c>
      <c r="D249" s="69">
        <v>42.2273</v>
      </c>
      <c r="E249" s="69">
        <v>44.293700000000001</v>
      </c>
      <c r="F249" s="69">
        <v>179100.876063</v>
      </c>
      <c r="G249" s="69">
        <v>145.723424196</v>
      </c>
    </row>
    <row r="250" spans="1:7" x14ac:dyDescent="0.15">
      <c r="A250" t="s">
        <v>360</v>
      </c>
      <c r="B250" s="69">
        <v>6741.9344000000001</v>
      </c>
      <c r="C250" s="69">
        <v>35.552399999999999</v>
      </c>
      <c r="D250" s="69">
        <v>40.8294</v>
      </c>
      <c r="E250" s="69">
        <v>43.148400000000002</v>
      </c>
      <c r="F250" s="69">
        <v>77264.571574000001</v>
      </c>
      <c r="G250" s="69">
        <v>70.382423162500004</v>
      </c>
    </row>
    <row r="251" spans="1:7" x14ac:dyDescent="0.15">
      <c r="A251" t="s">
        <v>361</v>
      </c>
      <c r="B251" s="69">
        <v>1723.7224000000001</v>
      </c>
      <c r="C251" s="69">
        <v>33.744</v>
      </c>
      <c r="D251" s="69">
        <v>39.635899999999999</v>
      </c>
      <c r="E251" s="69">
        <v>42.211599999999997</v>
      </c>
      <c r="F251" s="69">
        <v>44221.601061100002</v>
      </c>
      <c r="G251" s="69">
        <v>47.307592153500003</v>
      </c>
    </row>
    <row r="252" spans="1:7" x14ac:dyDescent="0.15">
      <c r="A252" t="s">
        <v>362</v>
      </c>
      <c r="B252" s="69">
        <v>658.66800000000001</v>
      </c>
      <c r="C252" s="69">
        <v>31.679300000000001</v>
      </c>
      <c r="D252" s="69">
        <v>38.7271</v>
      </c>
      <c r="E252" s="69">
        <v>41.509</v>
      </c>
      <c r="F252" s="69">
        <v>28902.8577042</v>
      </c>
      <c r="G252" s="69">
        <v>35.5141708851</v>
      </c>
    </row>
    <row r="253" spans="1:7" x14ac:dyDescent="0.15">
      <c r="A253" t="s">
        <v>363</v>
      </c>
      <c r="B253" s="69">
        <v>3194.5704000000001</v>
      </c>
      <c r="C253" s="69">
        <v>40.561900000000001</v>
      </c>
      <c r="D253" s="69">
        <v>43.375799999999998</v>
      </c>
      <c r="E253" s="69">
        <v>44.130499999999998</v>
      </c>
      <c r="F253" s="69">
        <v>30974.825128799999</v>
      </c>
      <c r="G253" s="69">
        <v>17.062355995200001</v>
      </c>
    </row>
    <row r="254" spans="1:7" x14ac:dyDescent="0.15">
      <c r="A254" t="s">
        <v>364</v>
      </c>
      <c r="B254" s="69">
        <v>1463.6296</v>
      </c>
      <c r="C254" s="69">
        <v>37.309800000000003</v>
      </c>
      <c r="D254" s="69">
        <v>40.921100000000003</v>
      </c>
      <c r="E254" s="69">
        <v>41.356999999999999</v>
      </c>
      <c r="F254" s="69">
        <v>24094.170609000001</v>
      </c>
      <c r="G254" s="69">
        <v>12.829315900799999</v>
      </c>
    </row>
    <row r="255" spans="1:7" x14ac:dyDescent="0.15">
      <c r="A255" t="s">
        <v>365</v>
      </c>
      <c r="B255" s="69">
        <v>727.66719999999998</v>
      </c>
      <c r="C255" s="69">
        <v>34.542999999999999</v>
      </c>
      <c r="D255" s="69">
        <v>39.091099999999997</v>
      </c>
      <c r="E255" s="69">
        <v>39.429200000000002</v>
      </c>
      <c r="F255" s="69">
        <v>17017.2105238</v>
      </c>
      <c r="G255" s="69">
        <v>9.9002461433400004</v>
      </c>
    </row>
    <row r="256" spans="1:7" x14ac:dyDescent="0.15">
      <c r="A256" t="s">
        <v>366</v>
      </c>
      <c r="B256" s="69">
        <v>383.66</v>
      </c>
      <c r="C256" s="69">
        <v>32.181100000000001</v>
      </c>
      <c r="D256" s="69">
        <v>37.4422</v>
      </c>
      <c r="E256" s="69">
        <v>37.688800000000001</v>
      </c>
      <c r="F256" s="69">
        <v>12373.977586000001</v>
      </c>
      <c r="G256" s="69">
        <v>7.8279948234600001</v>
      </c>
    </row>
    <row r="257" spans="1:7" x14ac:dyDescent="0.15">
      <c r="A257" t="s">
        <v>367</v>
      </c>
      <c r="B257" s="69">
        <v>3660.2671999999998</v>
      </c>
      <c r="C257" s="69">
        <v>40.444899999999997</v>
      </c>
      <c r="D257" s="69">
        <v>43.528700000000001</v>
      </c>
      <c r="E257" s="69">
        <v>45.007800000000003</v>
      </c>
      <c r="F257" s="69">
        <v>27793.2649012</v>
      </c>
      <c r="G257" s="69">
        <v>20.145214796099999</v>
      </c>
    </row>
    <row r="258" spans="1:7" x14ac:dyDescent="0.15">
      <c r="A258" t="s">
        <v>368</v>
      </c>
      <c r="B258" s="69">
        <v>1608.0192</v>
      </c>
      <c r="C258" s="69">
        <v>37.510399999999997</v>
      </c>
      <c r="D258" s="69">
        <v>41.419800000000002</v>
      </c>
      <c r="E258" s="69">
        <v>42.571399999999997</v>
      </c>
      <c r="F258" s="69">
        <v>19232.4868021</v>
      </c>
      <c r="G258" s="69">
        <v>14.534423112900001</v>
      </c>
    </row>
    <row r="259" spans="1:7" x14ac:dyDescent="0.15">
      <c r="A259" t="s">
        <v>369</v>
      </c>
      <c r="B259" s="69">
        <v>793.64559999999994</v>
      </c>
      <c r="C259" s="69">
        <v>34.570599999999999</v>
      </c>
      <c r="D259" s="69">
        <v>39.781199999999998</v>
      </c>
      <c r="E259" s="69">
        <v>40.743000000000002</v>
      </c>
      <c r="F259" s="69">
        <v>14200.2190111</v>
      </c>
      <c r="G259" s="69">
        <v>11.0793890953</v>
      </c>
    </row>
    <row r="260" spans="1:7" x14ac:dyDescent="0.15">
      <c r="A260" t="s">
        <v>370</v>
      </c>
      <c r="B260" s="69">
        <v>406.608</v>
      </c>
      <c r="C260" s="69">
        <v>31.706800000000001</v>
      </c>
      <c r="D260" s="69">
        <v>38.5</v>
      </c>
      <c r="E260" s="69">
        <v>39.409100000000002</v>
      </c>
      <c r="F260" s="69">
        <v>11028.252767100001</v>
      </c>
      <c r="G260" s="69">
        <v>8.9218618869800004</v>
      </c>
    </row>
    <row r="261" spans="1:7" x14ac:dyDescent="0.15">
      <c r="A261" t="s">
        <v>371</v>
      </c>
      <c r="B261" s="69">
        <v>6989.9584000000004</v>
      </c>
      <c r="C261" s="69">
        <v>38.6402</v>
      </c>
      <c r="D261" s="69">
        <v>41.487000000000002</v>
      </c>
      <c r="E261" s="69">
        <v>42.426600000000001</v>
      </c>
      <c r="F261" s="69">
        <v>32315.147819999998</v>
      </c>
      <c r="G261" s="69">
        <v>24.5354528427</v>
      </c>
    </row>
    <row r="262" spans="1:7" x14ac:dyDescent="0.15">
      <c r="A262" t="s">
        <v>372</v>
      </c>
      <c r="B262" s="69">
        <v>2897.7415999999998</v>
      </c>
      <c r="C262" s="69">
        <v>34.671999999999997</v>
      </c>
      <c r="D262" s="69">
        <v>38.633099999999999</v>
      </c>
      <c r="E262" s="69">
        <v>39.4621</v>
      </c>
      <c r="F262" s="69">
        <v>21469.833849899998</v>
      </c>
      <c r="G262" s="69">
        <v>17.621981859200002</v>
      </c>
    </row>
    <row r="263" spans="1:7" x14ac:dyDescent="0.15">
      <c r="A263" t="s">
        <v>373</v>
      </c>
      <c r="B263" s="69">
        <v>1297.5663999999999</v>
      </c>
      <c r="C263" s="69">
        <v>31.211300000000001</v>
      </c>
      <c r="D263" s="69">
        <v>36.734299999999998</v>
      </c>
      <c r="E263" s="69">
        <v>37.514800000000001</v>
      </c>
      <c r="F263" s="69">
        <v>15167.4244831</v>
      </c>
      <c r="G263" s="69">
        <v>13.287660837200001</v>
      </c>
    </row>
    <row r="264" spans="1:7" x14ac:dyDescent="0.15">
      <c r="A264" t="s">
        <v>374</v>
      </c>
      <c r="B264" s="69">
        <v>564.55600000000004</v>
      </c>
      <c r="C264" s="69">
        <v>28.014600000000002</v>
      </c>
      <c r="D264" s="69">
        <v>35.372300000000003</v>
      </c>
      <c r="E264" s="69">
        <v>36.126300000000001</v>
      </c>
      <c r="F264" s="69">
        <v>11454.7259209</v>
      </c>
      <c r="G264" s="69">
        <v>10.277405977200001</v>
      </c>
    </row>
    <row r="265" spans="1:7" x14ac:dyDescent="0.15">
      <c r="A265" t="s">
        <v>375</v>
      </c>
      <c r="B265">
        <v>5195.1023999999998</v>
      </c>
      <c r="C265">
        <v>40.140999999999998</v>
      </c>
      <c r="D265">
        <v>41.728900000000003</v>
      </c>
      <c r="E265">
        <v>43.052100000000003</v>
      </c>
      <c r="F265">
        <v>27025.271434800001</v>
      </c>
      <c r="G265">
        <v>15.2237999439</v>
      </c>
    </row>
    <row r="266" spans="1:7" x14ac:dyDescent="0.15">
      <c r="A266" t="s">
        <v>376</v>
      </c>
      <c r="B266">
        <v>1980.0192</v>
      </c>
      <c r="C266">
        <v>36.362499999999997</v>
      </c>
      <c r="D266">
        <v>39.037199999999999</v>
      </c>
      <c r="E266">
        <v>40.657200000000003</v>
      </c>
      <c r="F266">
        <v>17215.744524999998</v>
      </c>
      <c r="G266">
        <v>10.457282066299999</v>
      </c>
    </row>
    <row r="267" spans="1:7" x14ac:dyDescent="0.15">
      <c r="A267" t="s">
        <v>377</v>
      </c>
      <c r="B267">
        <v>899.75840000000005</v>
      </c>
      <c r="C267">
        <v>33.309600000000003</v>
      </c>
      <c r="D267">
        <v>37.274900000000002</v>
      </c>
      <c r="E267">
        <v>39.087200000000003</v>
      </c>
      <c r="F267">
        <v>13101.214533099999</v>
      </c>
      <c r="G267">
        <v>8.2539241313900007</v>
      </c>
    </row>
    <row r="268" spans="1:7" x14ac:dyDescent="0.15">
      <c r="A268" t="s">
        <v>378</v>
      </c>
      <c r="B268">
        <v>415.952</v>
      </c>
      <c r="C268">
        <v>30.48</v>
      </c>
      <c r="D268">
        <v>36.055999999999997</v>
      </c>
      <c r="E268">
        <v>37.857399999999998</v>
      </c>
      <c r="F268">
        <v>9532.5860230899998</v>
      </c>
      <c r="G268">
        <v>6.3489470481900003</v>
      </c>
    </row>
    <row r="269" spans="1:7" x14ac:dyDescent="0.15">
      <c r="A269" t="s">
        <v>379</v>
      </c>
      <c r="B269">
        <v>1525.2112</v>
      </c>
      <c r="C269">
        <v>41.300899999999999</v>
      </c>
      <c r="D269">
        <v>44.218600000000002</v>
      </c>
      <c r="E269">
        <v>43.665300000000002</v>
      </c>
      <c r="F269">
        <v>8002.5763690499998</v>
      </c>
      <c r="G269">
        <v>5.5473930835700003</v>
      </c>
    </row>
    <row r="270" spans="1:7" x14ac:dyDescent="0.15">
      <c r="A270" t="s">
        <v>380</v>
      </c>
      <c r="B270">
        <v>742.49919999999997</v>
      </c>
      <c r="C270">
        <v>37.225700000000003</v>
      </c>
      <c r="D270">
        <v>41.408700000000003</v>
      </c>
      <c r="E270">
        <v>40.4133</v>
      </c>
      <c r="F270">
        <v>5946.8406369699997</v>
      </c>
      <c r="G270">
        <v>4.18224215508</v>
      </c>
    </row>
    <row r="271" spans="1:7" x14ac:dyDescent="0.15">
      <c r="A271" t="s">
        <v>381</v>
      </c>
      <c r="B271">
        <v>376.63279999999997</v>
      </c>
      <c r="C271">
        <v>33.793500000000002</v>
      </c>
      <c r="D271">
        <v>39.5867</v>
      </c>
      <c r="E271">
        <v>38.376399999999997</v>
      </c>
      <c r="F271">
        <v>4701.8546888800001</v>
      </c>
      <c r="G271">
        <v>3.25373291969</v>
      </c>
    </row>
    <row r="272" spans="1:7" x14ac:dyDescent="0.15">
      <c r="A272" t="s">
        <v>382</v>
      </c>
      <c r="B272">
        <v>195.4744</v>
      </c>
      <c r="C272">
        <v>30.914000000000001</v>
      </c>
      <c r="D272">
        <v>38.069499999999998</v>
      </c>
      <c r="E272">
        <v>36.642099999999999</v>
      </c>
      <c r="F272">
        <v>3433.0144200300001</v>
      </c>
      <c r="G272">
        <v>2.4531280994400002</v>
      </c>
    </row>
    <row r="273" spans="1:7" x14ac:dyDescent="0.15">
      <c r="A273" t="s">
        <v>383</v>
      </c>
      <c r="B273">
        <v>1916.864</v>
      </c>
      <c r="C273">
        <v>38.619399999999999</v>
      </c>
      <c r="D273">
        <v>42.884799999999998</v>
      </c>
      <c r="E273">
        <v>44.017899999999997</v>
      </c>
      <c r="F273">
        <v>7335.3692929700001</v>
      </c>
      <c r="G273">
        <v>7.2423820495599998</v>
      </c>
    </row>
    <row r="274" spans="1:7" x14ac:dyDescent="0.15">
      <c r="A274" t="s">
        <v>384</v>
      </c>
      <c r="B274">
        <v>640.73760000000004</v>
      </c>
      <c r="C274">
        <v>34.764600000000002</v>
      </c>
      <c r="D274">
        <v>40.785600000000002</v>
      </c>
      <c r="E274">
        <v>41.880899999999997</v>
      </c>
      <c r="F274">
        <v>4514.5968110599997</v>
      </c>
      <c r="G274">
        <v>4.8939518928499997</v>
      </c>
    </row>
    <row r="275" spans="1:7" x14ac:dyDescent="0.15">
      <c r="A275" t="s">
        <v>385</v>
      </c>
      <c r="B275">
        <v>245.05520000000001</v>
      </c>
      <c r="C275">
        <v>31.5411</v>
      </c>
      <c r="D275">
        <v>39.413899999999998</v>
      </c>
      <c r="E275">
        <v>40.359099999999998</v>
      </c>
      <c r="F275">
        <v>2679.3342778699998</v>
      </c>
      <c r="G275">
        <v>3.7812180519099998</v>
      </c>
    </row>
    <row r="276" spans="1:7" x14ac:dyDescent="0.15">
      <c r="A276" t="s">
        <v>386</v>
      </c>
      <c r="B276">
        <v>100.17359999999999</v>
      </c>
      <c r="C276">
        <v>28.5837</v>
      </c>
      <c r="D276">
        <v>38.627299999999998</v>
      </c>
      <c r="E276">
        <v>39.3202</v>
      </c>
      <c r="F276">
        <v>1886.7134528199999</v>
      </c>
      <c r="G276">
        <v>3.1247630119299998</v>
      </c>
    </row>
    <row r="277" spans="1:7" x14ac:dyDescent="0.15">
      <c r="A277" t="s">
        <v>387</v>
      </c>
      <c r="B277">
        <v>1721.1559999999999</v>
      </c>
      <c r="C277">
        <v>38.365699999999997</v>
      </c>
      <c r="D277">
        <v>41.106099999999998</v>
      </c>
      <c r="E277">
        <v>41.862499999999997</v>
      </c>
      <c r="F277">
        <v>7127.1233558699996</v>
      </c>
      <c r="G277">
        <v>6.2392148971600001</v>
      </c>
    </row>
    <row r="278" spans="1:7" x14ac:dyDescent="0.15">
      <c r="A278" t="s">
        <v>388</v>
      </c>
      <c r="B278">
        <v>711.56320000000005</v>
      </c>
      <c r="C278">
        <v>34.457700000000003</v>
      </c>
      <c r="D278">
        <v>38.311700000000002</v>
      </c>
      <c r="E278">
        <v>38.8718</v>
      </c>
      <c r="F278">
        <v>4811.73664904</v>
      </c>
      <c r="G278">
        <v>4.1432280540499997</v>
      </c>
    </row>
    <row r="279" spans="1:7" x14ac:dyDescent="0.15">
      <c r="A279" t="s">
        <v>389</v>
      </c>
      <c r="B279">
        <v>312.00479999999999</v>
      </c>
      <c r="C279">
        <v>31.015799999999999</v>
      </c>
      <c r="D279">
        <v>36.335500000000003</v>
      </c>
      <c r="E279">
        <v>36.843800000000002</v>
      </c>
      <c r="F279">
        <v>3356.9401948499999</v>
      </c>
      <c r="G279">
        <v>2.9396200180099998</v>
      </c>
    </row>
    <row r="280" spans="1:7" x14ac:dyDescent="0.15">
      <c r="A280" t="s">
        <v>390</v>
      </c>
      <c r="B280">
        <v>135.97120000000001</v>
      </c>
      <c r="C280">
        <v>28.009399999999999</v>
      </c>
      <c r="D280">
        <v>34.888199999999998</v>
      </c>
      <c r="E280">
        <v>35.460599999999999</v>
      </c>
      <c r="F280">
        <v>2480.58519101</v>
      </c>
      <c r="G280">
        <v>2.2440538406399999</v>
      </c>
    </row>
    <row r="281" spans="1:7" x14ac:dyDescent="0.15">
      <c r="A281" t="s">
        <v>391</v>
      </c>
      <c r="B281">
        <v>1199.9104</v>
      </c>
      <c r="C281">
        <v>40.275300000000001</v>
      </c>
      <c r="D281">
        <v>41.592199999999998</v>
      </c>
      <c r="E281">
        <v>42.629100000000001</v>
      </c>
      <c r="F281">
        <v>5946.4157707699997</v>
      </c>
      <c r="G281">
        <v>4.0699698924999996</v>
      </c>
    </row>
    <row r="282" spans="1:7" x14ac:dyDescent="0.15">
      <c r="A282" t="s">
        <v>392</v>
      </c>
      <c r="B282">
        <v>560.06880000000001</v>
      </c>
      <c r="C282">
        <v>36.006500000000003</v>
      </c>
      <c r="D282">
        <v>38.648600000000002</v>
      </c>
      <c r="E282">
        <v>39.8476</v>
      </c>
      <c r="F282">
        <v>4076.1240060300001</v>
      </c>
      <c r="G282">
        <v>2.8928241729700002</v>
      </c>
    </row>
    <row r="283" spans="1:7" x14ac:dyDescent="0.15">
      <c r="A283" t="s">
        <v>393</v>
      </c>
      <c r="B283">
        <v>273.54559999999998</v>
      </c>
      <c r="C283">
        <v>32.441499999999998</v>
      </c>
      <c r="D283">
        <v>36.851799999999997</v>
      </c>
      <c r="E283">
        <v>38.013500000000001</v>
      </c>
      <c r="F283">
        <v>3105.4620819100001</v>
      </c>
      <c r="G283">
        <v>2.2162120342299998</v>
      </c>
    </row>
    <row r="284" spans="1:7" x14ac:dyDescent="0.15">
      <c r="A284" t="s">
        <v>394</v>
      </c>
      <c r="B284">
        <v>133.744</v>
      </c>
      <c r="C284">
        <v>29.581800000000001</v>
      </c>
      <c r="D284">
        <v>35.475900000000003</v>
      </c>
      <c r="E284">
        <v>36.520600000000002</v>
      </c>
      <c r="F284">
        <v>2216.2788620000001</v>
      </c>
      <c r="G284">
        <v>1.6898589134199999</v>
      </c>
    </row>
    <row r="285" spans="1:7" x14ac:dyDescent="0.15">
      <c r="A285" t="s">
        <v>395</v>
      </c>
      <c r="B285">
        <v>2011.1936000000001</v>
      </c>
      <c r="C285">
        <v>42.954099999999997</v>
      </c>
      <c r="D285">
        <v>46.877400000000002</v>
      </c>
      <c r="E285">
        <v>48.196599999999997</v>
      </c>
      <c r="F285">
        <v>31812.2434158</v>
      </c>
      <c r="G285">
        <v>25.502768039700001</v>
      </c>
    </row>
    <row r="286" spans="1:7" x14ac:dyDescent="0.15">
      <c r="A286" t="s">
        <v>396</v>
      </c>
      <c r="B286">
        <v>749.96079999999995</v>
      </c>
      <c r="C286">
        <v>40.613199999999999</v>
      </c>
      <c r="D286">
        <v>44.886499999999998</v>
      </c>
      <c r="E286">
        <v>46.220799999999997</v>
      </c>
      <c r="F286">
        <v>19633.977574799999</v>
      </c>
      <c r="G286">
        <v>17.340811967800001</v>
      </c>
    </row>
    <row r="287" spans="1:7" x14ac:dyDescent="0.15">
      <c r="A287" t="s">
        <v>397</v>
      </c>
      <c r="B287">
        <v>372.28160000000003</v>
      </c>
      <c r="C287">
        <v>38.0471</v>
      </c>
      <c r="D287">
        <v>43.286700000000003</v>
      </c>
      <c r="E287">
        <v>44.596699999999998</v>
      </c>
      <c r="F287">
        <v>13979.651119</v>
      </c>
      <c r="G287">
        <v>13.767154932</v>
      </c>
    </row>
    <row r="288" spans="1:7" x14ac:dyDescent="0.15">
      <c r="A288" t="s">
        <v>398</v>
      </c>
      <c r="B288">
        <v>196.66720000000001</v>
      </c>
      <c r="C288">
        <v>35.2271</v>
      </c>
      <c r="D288">
        <v>41.906300000000002</v>
      </c>
      <c r="E288">
        <v>43.140799999999999</v>
      </c>
      <c r="F288">
        <v>10472.714649</v>
      </c>
      <c r="G288">
        <v>11.431514978399999</v>
      </c>
    </row>
    <row r="289" spans="1:7" x14ac:dyDescent="0.15">
      <c r="A289" t="s">
        <v>399</v>
      </c>
      <c r="B289">
        <v>1386.8263999999999</v>
      </c>
      <c r="C289">
        <v>43.303199999999997</v>
      </c>
      <c r="D289">
        <v>48.495699999999999</v>
      </c>
      <c r="E289">
        <v>49.1556</v>
      </c>
      <c r="F289">
        <v>28061.023316899998</v>
      </c>
      <c r="G289">
        <v>21.999122142800001</v>
      </c>
    </row>
    <row r="290" spans="1:7" x14ac:dyDescent="0.15">
      <c r="A290" t="s">
        <v>400</v>
      </c>
      <c r="B290">
        <v>349.22879999999998</v>
      </c>
      <c r="C290">
        <v>41.497399999999999</v>
      </c>
      <c r="D290">
        <v>46.877800000000001</v>
      </c>
      <c r="E290">
        <v>47.551900000000003</v>
      </c>
      <c r="F290">
        <v>15009.2604749</v>
      </c>
      <c r="G290">
        <v>15.256946086899999</v>
      </c>
    </row>
    <row r="291" spans="1:7" x14ac:dyDescent="0.15">
      <c r="A291" t="s">
        <v>401</v>
      </c>
      <c r="B291">
        <v>155.76</v>
      </c>
      <c r="C291">
        <v>39.5092</v>
      </c>
      <c r="D291">
        <v>45.241700000000002</v>
      </c>
      <c r="E291">
        <v>46.0321</v>
      </c>
      <c r="F291">
        <v>9908.2596750299999</v>
      </c>
      <c r="G291">
        <v>12.563724994699999</v>
      </c>
    </row>
    <row r="292" spans="1:7" x14ac:dyDescent="0.15">
      <c r="A292" t="s">
        <v>402</v>
      </c>
      <c r="B292">
        <v>82.591200000000001</v>
      </c>
      <c r="C292">
        <v>37.146799999999999</v>
      </c>
      <c r="D292">
        <v>44.023200000000003</v>
      </c>
      <c r="E292">
        <v>44.547899999999998</v>
      </c>
      <c r="F292">
        <v>6617.1907169799997</v>
      </c>
      <c r="G292">
        <v>11.0794460773</v>
      </c>
    </row>
    <row r="293" spans="1:7" x14ac:dyDescent="0.15">
      <c r="A293" t="s">
        <v>403</v>
      </c>
      <c r="B293">
        <v>1803.3368</v>
      </c>
      <c r="C293">
        <v>43.623600000000003</v>
      </c>
      <c r="D293">
        <v>47.72</v>
      </c>
      <c r="E293">
        <v>48.684800000000003</v>
      </c>
      <c r="F293">
        <v>35091.759876999997</v>
      </c>
      <c r="G293">
        <v>24.782526969900001</v>
      </c>
    </row>
    <row r="294" spans="1:7" x14ac:dyDescent="0.15">
      <c r="A294" t="s">
        <v>404</v>
      </c>
      <c r="B294">
        <v>596.31200000000001</v>
      </c>
      <c r="C294">
        <v>41.521999999999998</v>
      </c>
      <c r="D294">
        <v>45.813499999999998</v>
      </c>
      <c r="E294">
        <v>46.795000000000002</v>
      </c>
      <c r="F294">
        <v>20834.6210489</v>
      </c>
      <c r="G294">
        <v>17.772142171900001</v>
      </c>
    </row>
    <row r="295" spans="1:7" x14ac:dyDescent="0.15">
      <c r="A295" t="s">
        <v>405</v>
      </c>
      <c r="B295">
        <v>266.7568</v>
      </c>
      <c r="C295">
        <v>39.234099999999998</v>
      </c>
      <c r="D295">
        <v>44.157299999999999</v>
      </c>
      <c r="E295">
        <v>45.217599999999997</v>
      </c>
      <c r="F295">
        <v>14125.831244000001</v>
      </c>
      <c r="G295">
        <v>14.6766331196</v>
      </c>
    </row>
    <row r="296" spans="1:7" x14ac:dyDescent="0.15">
      <c r="A296" t="s">
        <v>406</v>
      </c>
      <c r="B296">
        <v>137.9264</v>
      </c>
      <c r="C296">
        <v>36.650599999999997</v>
      </c>
      <c r="D296">
        <v>42.9208</v>
      </c>
      <c r="E296">
        <v>44.014499999999998</v>
      </c>
      <c r="F296">
        <v>9419.0697059600006</v>
      </c>
      <c r="G296">
        <v>12.624052047699999</v>
      </c>
    </row>
    <row r="297" spans="1:7" x14ac:dyDescent="0.15">
      <c r="A297" t="s">
        <v>407</v>
      </c>
      <c r="B297">
        <v>3332.4528</v>
      </c>
      <c r="C297">
        <v>40.680700000000002</v>
      </c>
      <c r="D297">
        <v>43.221299999999999</v>
      </c>
      <c r="E297">
        <v>43.898699999999998</v>
      </c>
      <c r="F297">
        <v>29019.5325639</v>
      </c>
      <c r="G297">
        <v>17.219068050400001</v>
      </c>
    </row>
    <row r="298" spans="1:7" x14ac:dyDescent="0.15">
      <c r="A298" t="s">
        <v>408</v>
      </c>
      <c r="B298">
        <v>1528.7760000000001</v>
      </c>
      <c r="C298">
        <v>37.330500000000001</v>
      </c>
      <c r="D298">
        <v>40.499299999999998</v>
      </c>
      <c r="E298">
        <v>40.953099999999999</v>
      </c>
      <c r="F298">
        <v>22749.0787108</v>
      </c>
      <c r="G298">
        <v>13.1664149761</v>
      </c>
    </row>
    <row r="299" spans="1:7" x14ac:dyDescent="0.15">
      <c r="A299" t="s">
        <v>409</v>
      </c>
      <c r="B299">
        <v>767.9624</v>
      </c>
      <c r="C299">
        <v>34.449100000000001</v>
      </c>
      <c r="D299">
        <v>38.415100000000002</v>
      </c>
      <c r="E299">
        <v>38.812800000000003</v>
      </c>
      <c r="F299">
        <v>16673.5231719</v>
      </c>
      <c r="G299">
        <v>9.8107860088300001</v>
      </c>
    </row>
    <row r="300" spans="1:7" x14ac:dyDescent="0.15">
      <c r="A300" t="s">
        <v>410</v>
      </c>
      <c r="B300">
        <v>408.584</v>
      </c>
      <c r="C300">
        <v>31.818000000000001</v>
      </c>
      <c r="D300">
        <v>36.763599999999997</v>
      </c>
      <c r="E300">
        <v>37.002299999999998</v>
      </c>
      <c r="F300">
        <v>12142.786999</v>
      </c>
      <c r="G300">
        <v>7.6129097938500001</v>
      </c>
    </row>
    <row r="301" spans="1:7" x14ac:dyDescent="0.15">
      <c r="A301" t="s">
        <v>411</v>
      </c>
      <c r="B301">
        <v>13283.045599999999</v>
      </c>
      <c r="C301">
        <v>42.401400000000002</v>
      </c>
      <c r="D301">
        <v>44.273800000000001</v>
      </c>
      <c r="E301">
        <v>44.977400000000003</v>
      </c>
      <c r="F301">
        <v>103404.38729499999</v>
      </c>
      <c r="G301">
        <v>85.062417030299997</v>
      </c>
    </row>
    <row r="302" spans="1:7" x14ac:dyDescent="0.15">
      <c r="A302" t="s">
        <v>412</v>
      </c>
      <c r="B302">
        <v>5600.8119999999999</v>
      </c>
      <c r="C302">
        <v>38.941200000000002</v>
      </c>
      <c r="D302">
        <v>41.560400000000001</v>
      </c>
      <c r="E302">
        <v>42.040700000000001</v>
      </c>
      <c r="F302">
        <v>77598.298645000003</v>
      </c>
      <c r="G302">
        <v>61.929437875700003</v>
      </c>
    </row>
    <row r="303" spans="1:7" x14ac:dyDescent="0.15">
      <c r="A303" t="s">
        <v>413</v>
      </c>
      <c r="B303">
        <v>2610.9128000000001</v>
      </c>
      <c r="C303">
        <v>35.9756</v>
      </c>
      <c r="D303">
        <v>39.607500000000002</v>
      </c>
      <c r="E303">
        <v>39.957099999999997</v>
      </c>
      <c r="F303">
        <v>60689.894832099999</v>
      </c>
      <c r="G303">
        <v>47.222194909999999</v>
      </c>
    </row>
    <row r="304" spans="1:7" x14ac:dyDescent="0.15">
      <c r="A304" t="s">
        <v>414</v>
      </c>
      <c r="B304">
        <v>1296.3824</v>
      </c>
      <c r="C304">
        <v>33.276000000000003</v>
      </c>
      <c r="D304">
        <v>38.044800000000002</v>
      </c>
      <c r="E304">
        <v>38.223700000000001</v>
      </c>
      <c r="F304">
        <v>43384.5157912</v>
      </c>
      <c r="G304">
        <v>37.996468782400001</v>
      </c>
    </row>
    <row r="305" spans="1:7" x14ac:dyDescent="0.15">
      <c r="A305" t="s">
        <v>415</v>
      </c>
      <c r="B305">
        <v>282.01920000000001</v>
      </c>
      <c r="C305">
        <v>47.384099999999997</v>
      </c>
      <c r="D305">
        <v>45.7254</v>
      </c>
      <c r="E305">
        <v>45.995600000000003</v>
      </c>
      <c r="F305">
        <v>3418.6924738900002</v>
      </c>
      <c r="G305">
        <v>5.1573219299300002</v>
      </c>
    </row>
    <row r="306" spans="1:7" x14ac:dyDescent="0.15">
      <c r="A306" t="s">
        <v>416</v>
      </c>
      <c r="B306">
        <v>209.2328</v>
      </c>
      <c r="C306">
        <v>43.103499999999997</v>
      </c>
      <c r="D306">
        <v>41.662399999999998</v>
      </c>
      <c r="E306">
        <v>42.099699999999999</v>
      </c>
      <c r="F306">
        <v>2972.62653899</v>
      </c>
      <c r="G306">
        <v>5.1232511997200003</v>
      </c>
    </row>
    <row r="307" spans="1:7" x14ac:dyDescent="0.15">
      <c r="A307" t="s">
        <v>417</v>
      </c>
      <c r="B307">
        <v>156.5128</v>
      </c>
      <c r="C307">
        <v>38.480400000000003</v>
      </c>
      <c r="D307">
        <v>39.4754</v>
      </c>
      <c r="E307">
        <v>40.063899999999997</v>
      </c>
      <c r="F307">
        <v>2771.9407239000002</v>
      </c>
      <c r="G307">
        <v>4.8864848613699996</v>
      </c>
    </row>
    <row r="308" spans="1:7" x14ac:dyDescent="0.15">
      <c r="A308" t="s">
        <v>418</v>
      </c>
      <c r="B308">
        <v>112.124</v>
      </c>
      <c r="C308">
        <v>33.596600000000002</v>
      </c>
      <c r="D308">
        <v>38.323300000000003</v>
      </c>
      <c r="E308">
        <v>38.837800000000001</v>
      </c>
      <c r="F308">
        <v>2613.4252421900001</v>
      </c>
      <c r="G308">
        <v>4.7222969531999999</v>
      </c>
    </row>
    <row r="309" spans="1:7" x14ac:dyDescent="0.15">
      <c r="A309" t="s">
        <v>419</v>
      </c>
      <c r="B309">
        <v>564.70659999999998</v>
      </c>
      <c r="C309">
        <v>49.424799999999998</v>
      </c>
      <c r="D309">
        <v>52.9621</v>
      </c>
      <c r="E309">
        <v>53.950200000000002</v>
      </c>
      <c r="F309">
        <v>14246.4198201</v>
      </c>
      <c r="G309">
        <v>14.3929159641</v>
      </c>
    </row>
    <row r="310" spans="1:7" x14ac:dyDescent="0.15">
      <c r="A310" t="s">
        <v>420</v>
      </c>
      <c r="B310">
        <v>309.86430000000001</v>
      </c>
      <c r="C310">
        <v>45.429000000000002</v>
      </c>
      <c r="D310">
        <v>49.783000000000001</v>
      </c>
      <c r="E310">
        <v>50.926200000000001</v>
      </c>
      <c r="F310">
        <v>12059.399858999999</v>
      </c>
      <c r="G310">
        <v>12.8649301529</v>
      </c>
    </row>
    <row r="311" spans="1:7" x14ac:dyDescent="0.15">
      <c r="A311" t="s">
        <v>421</v>
      </c>
      <c r="B311">
        <v>176.86080000000001</v>
      </c>
      <c r="C311">
        <v>41.684199999999997</v>
      </c>
      <c r="D311">
        <v>47.393300000000004</v>
      </c>
      <c r="E311">
        <v>48.4559</v>
      </c>
      <c r="F311">
        <v>9883.6216070699993</v>
      </c>
      <c r="G311">
        <v>11.992263078700001</v>
      </c>
    </row>
    <row r="312" spans="1:7" x14ac:dyDescent="0.15">
      <c r="A312" t="s">
        <v>422</v>
      </c>
      <c r="B312">
        <v>106.7664</v>
      </c>
      <c r="C312">
        <v>37.966299999999997</v>
      </c>
      <c r="D312">
        <v>45.310899999999997</v>
      </c>
      <c r="E312">
        <v>47.1417</v>
      </c>
      <c r="F312">
        <v>8029.4559729100001</v>
      </c>
      <c r="G312">
        <v>11.038130044900001</v>
      </c>
    </row>
    <row r="313" spans="1:7" x14ac:dyDescent="0.15">
      <c r="A313" t="s">
        <v>423</v>
      </c>
    </row>
    <row r="314" spans="1:7" x14ac:dyDescent="0.15">
      <c r="A314" t="s">
        <v>424</v>
      </c>
    </row>
    <row r="315" spans="1:7" x14ac:dyDescent="0.15">
      <c r="A315" t="s">
        <v>425</v>
      </c>
    </row>
    <row r="316" spans="1:7" x14ac:dyDescent="0.15">
      <c r="A316" t="s">
        <v>426</v>
      </c>
    </row>
    <row r="317" spans="1:7" x14ac:dyDescent="0.15">
      <c r="A317" t="s">
        <v>427</v>
      </c>
    </row>
    <row r="318" spans="1:7" x14ac:dyDescent="0.15">
      <c r="A318" t="s">
        <v>428</v>
      </c>
    </row>
    <row r="319" spans="1:7" x14ac:dyDescent="0.15">
      <c r="A319" t="s">
        <v>429</v>
      </c>
    </row>
    <row r="320" spans="1:7" x14ac:dyDescent="0.15">
      <c r="A320" t="s">
        <v>430</v>
      </c>
    </row>
    <row r="321" spans="1:1" x14ac:dyDescent="0.15">
      <c r="A321" t="s">
        <v>431</v>
      </c>
    </row>
    <row r="322" spans="1:1" x14ac:dyDescent="0.15">
      <c r="A322" t="s">
        <v>432</v>
      </c>
    </row>
    <row r="323" spans="1:1" x14ac:dyDescent="0.15">
      <c r="A323" t="s">
        <v>433</v>
      </c>
    </row>
    <row r="324" spans="1:1" x14ac:dyDescent="0.15">
      <c r="A324" t="s">
        <v>434</v>
      </c>
    </row>
    <row r="325" spans="1:1" x14ac:dyDescent="0.15">
      <c r="A325" t="s">
        <v>435</v>
      </c>
    </row>
    <row r="326" spans="1:1" x14ac:dyDescent="0.15">
      <c r="A326" t="s">
        <v>436</v>
      </c>
    </row>
    <row r="327" spans="1:1" x14ac:dyDescent="0.15">
      <c r="A327" t="s">
        <v>437</v>
      </c>
    </row>
    <row r="328" spans="1:1" x14ac:dyDescent="0.15">
      <c r="A328" t="s">
        <v>438</v>
      </c>
    </row>
    <row r="329" spans="1:1" x14ac:dyDescent="0.15">
      <c r="A329" t="s">
        <v>439</v>
      </c>
    </row>
    <row r="330" spans="1:1" x14ac:dyDescent="0.15">
      <c r="A330" t="s">
        <v>440</v>
      </c>
    </row>
    <row r="331" spans="1:1" x14ac:dyDescent="0.15">
      <c r="A331" t="s">
        <v>441</v>
      </c>
    </row>
    <row r="332" spans="1:1" x14ac:dyDescent="0.15">
      <c r="A332" t="s">
        <v>442</v>
      </c>
    </row>
    <row r="333" spans="1:1" x14ac:dyDescent="0.15">
      <c r="A333" t="s">
        <v>443</v>
      </c>
    </row>
    <row r="334" spans="1:1" x14ac:dyDescent="0.15">
      <c r="A334" t="s">
        <v>444</v>
      </c>
    </row>
    <row r="335" spans="1:1" x14ac:dyDescent="0.15">
      <c r="A335" t="s">
        <v>445</v>
      </c>
    </row>
    <row r="336" spans="1:1" x14ac:dyDescent="0.15">
      <c r="A336" t="s">
        <v>442</v>
      </c>
    </row>
    <row r="337" spans="1:7" x14ac:dyDescent="0.15">
      <c r="A337" t="s">
        <v>446</v>
      </c>
      <c r="B337">
        <v>19117.307199999999</v>
      </c>
      <c r="C337">
        <v>40.992699999999999</v>
      </c>
      <c r="D337">
        <v>44.010800000000003</v>
      </c>
      <c r="E337">
        <v>44.736600000000003</v>
      </c>
      <c r="F337">
        <v>151610.94698099999</v>
      </c>
      <c r="G337">
        <v>97.525726079899997</v>
      </c>
    </row>
    <row r="338" spans="1:7" x14ac:dyDescent="0.15">
      <c r="A338" t="s">
        <v>447</v>
      </c>
      <c r="B338">
        <v>6895.2471999999998</v>
      </c>
      <c r="C338">
        <v>38.545299999999997</v>
      </c>
      <c r="D338">
        <v>42.159199999999998</v>
      </c>
      <c r="E338">
        <v>43.064900000000002</v>
      </c>
      <c r="F338">
        <v>78166.913218999995</v>
      </c>
      <c r="G338">
        <v>74.825481176400004</v>
      </c>
    </row>
    <row r="339" spans="1:7" x14ac:dyDescent="0.15">
      <c r="A339" t="s">
        <v>448</v>
      </c>
      <c r="B339">
        <v>3050.2031999999999</v>
      </c>
      <c r="C339">
        <v>36.137900000000002</v>
      </c>
      <c r="D339">
        <v>40.759900000000002</v>
      </c>
      <c r="E339">
        <v>41.712000000000003</v>
      </c>
      <c r="F339">
        <v>51447.058352</v>
      </c>
      <c r="G339">
        <v>62.200373888000001</v>
      </c>
    </row>
    <row r="340" spans="1:7" x14ac:dyDescent="0.15">
      <c r="A340" t="s">
        <v>449</v>
      </c>
      <c r="B340">
        <v>1370.6479999999999</v>
      </c>
      <c r="C340">
        <v>33.701900000000002</v>
      </c>
      <c r="D340">
        <v>39.765700000000002</v>
      </c>
      <c r="E340">
        <v>40.6845</v>
      </c>
      <c r="F340">
        <v>35168.187917900003</v>
      </c>
      <c r="G340">
        <v>50.711044073099998</v>
      </c>
    </row>
    <row r="341" spans="1:7" x14ac:dyDescent="0.15">
      <c r="A341" t="s">
        <v>450</v>
      </c>
      <c r="B341">
        <v>11337.8824</v>
      </c>
      <c r="C341">
        <v>44.246200000000002</v>
      </c>
      <c r="D341">
        <v>47.064799999999998</v>
      </c>
      <c r="E341">
        <v>47.799300000000002</v>
      </c>
      <c r="F341">
        <v>138922.81304499999</v>
      </c>
      <c r="G341">
        <v>88.538750171700002</v>
      </c>
    </row>
    <row r="342" spans="1:7" x14ac:dyDescent="0.15">
      <c r="A342" t="s">
        <v>451</v>
      </c>
      <c r="B342">
        <v>5620.8368</v>
      </c>
      <c r="C342">
        <v>40.978999999999999</v>
      </c>
      <c r="D342">
        <v>44.703400000000002</v>
      </c>
      <c r="E342">
        <v>45.237400000000001</v>
      </c>
      <c r="F342">
        <v>92321.025924000001</v>
      </c>
      <c r="G342">
        <v>74.379987001399996</v>
      </c>
    </row>
    <row r="343" spans="1:7" x14ac:dyDescent="0.15">
      <c r="A343" t="s">
        <v>452</v>
      </c>
      <c r="B343">
        <v>2971.6808000000001</v>
      </c>
      <c r="C343">
        <v>37.8626</v>
      </c>
      <c r="D343">
        <v>43.126199999999997</v>
      </c>
      <c r="E343">
        <v>43.484900000000003</v>
      </c>
      <c r="F343">
        <v>67877.658762899999</v>
      </c>
      <c r="G343">
        <v>63.717275142699997</v>
      </c>
    </row>
    <row r="344" spans="1:7" x14ac:dyDescent="0.15">
      <c r="A344" t="s">
        <v>453</v>
      </c>
      <c r="B344">
        <v>1612.2488000000001</v>
      </c>
      <c r="C344">
        <v>35.031500000000001</v>
      </c>
      <c r="D344">
        <v>42.022300000000001</v>
      </c>
      <c r="E344">
        <v>42.168300000000002</v>
      </c>
      <c r="F344">
        <v>46383.225803100002</v>
      </c>
      <c r="G344">
        <v>54.528388977100001</v>
      </c>
    </row>
    <row r="345" spans="1:7" x14ac:dyDescent="0.15">
      <c r="A345" t="s">
        <v>454</v>
      </c>
      <c r="B345">
        <v>20808.448799999998</v>
      </c>
      <c r="C345">
        <v>38.856400000000001</v>
      </c>
      <c r="D345">
        <v>40.371099999999998</v>
      </c>
      <c r="E345">
        <v>43.560200000000002</v>
      </c>
      <c r="F345">
        <v>122422.771809</v>
      </c>
      <c r="G345">
        <v>86.811892986299995</v>
      </c>
    </row>
    <row r="346" spans="1:7" x14ac:dyDescent="0.15">
      <c r="A346" t="s">
        <v>455</v>
      </c>
      <c r="B346">
        <v>4950.6664000000001</v>
      </c>
      <c r="C346">
        <v>36.869100000000003</v>
      </c>
      <c r="D346">
        <v>39.113100000000003</v>
      </c>
      <c r="E346">
        <v>41.7898</v>
      </c>
      <c r="F346">
        <v>67733.432117000004</v>
      </c>
      <c r="G346">
        <v>53.636682987199997</v>
      </c>
    </row>
    <row r="347" spans="1:7" x14ac:dyDescent="0.15">
      <c r="A347" t="s">
        <v>456</v>
      </c>
      <c r="B347">
        <v>2182.4879999999998</v>
      </c>
      <c r="C347">
        <v>34.835099999999997</v>
      </c>
      <c r="D347">
        <v>38.277999999999999</v>
      </c>
      <c r="E347">
        <v>40.316099999999999</v>
      </c>
      <c r="F347">
        <v>45635.717938900001</v>
      </c>
      <c r="G347">
        <v>43.035540103899997</v>
      </c>
    </row>
    <row r="348" spans="1:7" x14ac:dyDescent="0.15">
      <c r="A348" t="s">
        <v>457</v>
      </c>
      <c r="B348">
        <v>1062.7016000000001</v>
      </c>
      <c r="C348">
        <v>32.633499999999998</v>
      </c>
      <c r="D348">
        <v>37.556600000000003</v>
      </c>
      <c r="E348">
        <v>39.108400000000003</v>
      </c>
      <c r="F348">
        <v>30724.979379199998</v>
      </c>
      <c r="G348">
        <v>36.513552904100003</v>
      </c>
    </row>
    <row r="349" spans="1:7" x14ac:dyDescent="0.15">
      <c r="A349" t="s">
        <v>458</v>
      </c>
      <c r="B349">
        <v>18516.039199999999</v>
      </c>
      <c r="C349">
        <v>39.627200000000002</v>
      </c>
      <c r="D349">
        <v>44.042499999999997</v>
      </c>
      <c r="E349">
        <v>45.494199999999999</v>
      </c>
      <c r="F349">
        <v>171242.33564599999</v>
      </c>
      <c r="G349">
        <v>85.449045896499996</v>
      </c>
    </row>
    <row r="350" spans="1:7" x14ac:dyDescent="0.15">
      <c r="A350" t="s">
        <v>459</v>
      </c>
      <c r="B350">
        <v>5862.1048000000001</v>
      </c>
      <c r="C350">
        <v>37.695500000000003</v>
      </c>
      <c r="D350">
        <v>42.724299999999999</v>
      </c>
      <c r="E350">
        <v>43.413499999999999</v>
      </c>
      <c r="F350">
        <v>96458.3046799</v>
      </c>
      <c r="G350">
        <v>63.323291063299997</v>
      </c>
    </row>
    <row r="351" spans="1:7" x14ac:dyDescent="0.15">
      <c r="A351" t="s">
        <v>460</v>
      </c>
      <c r="B351">
        <v>2763.3319999999999</v>
      </c>
      <c r="C351">
        <v>35.830300000000001</v>
      </c>
      <c r="D351">
        <v>41.607399999999998</v>
      </c>
      <c r="E351">
        <v>41.842300000000002</v>
      </c>
      <c r="F351">
        <v>60761.9898789</v>
      </c>
      <c r="G351">
        <v>53.089091062500003</v>
      </c>
    </row>
    <row r="352" spans="1:7" x14ac:dyDescent="0.15">
      <c r="A352" t="s">
        <v>461</v>
      </c>
      <c r="B352">
        <v>1430.568</v>
      </c>
      <c r="C352">
        <v>33.85</v>
      </c>
      <c r="D352">
        <v>40.633299999999998</v>
      </c>
      <c r="E352">
        <v>40.4574</v>
      </c>
      <c r="F352">
        <v>39732.195501100003</v>
      </c>
      <c r="G352">
        <v>46.633613824800001</v>
      </c>
    </row>
    <row r="353" spans="1:7" x14ac:dyDescent="0.15">
      <c r="A353" t="s">
        <v>462</v>
      </c>
      <c r="B353">
        <v>60441.447999999997</v>
      </c>
      <c r="C353">
        <v>38.470100000000002</v>
      </c>
      <c r="D353">
        <v>42.086199999999998</v>
      </c>
      <c r="E353">
        <v>44.184600000000003</v>
      </c>
      <c r="F353">
        <v>139170.901732</v>
      </c>
      <c r="G353">
        <v>159.141217947</v>
      </c>
    </row>
    <row r="354" spans="1:7" x14ac:dyDescent="0.15">
      <c r="A354" t="s">
        <v>463</v>
      </c>
      <c r="B354">
        <v>8077.9255999999996</v>
      </c>
      <c r="C354">
        <v>35.355800000000002</v>
      </c>
      <c r="D354">
        <v>40.7393</v>
      </c>
      <c r="E354">
        <v>43.105400000000003</v>
      </c>
      <c r="F354">
        <v>54422.759094000001</v>
      </c>
      <c r="G354">
        <v>70.603775978100003</v>
      </c>
    </row>
    <row r="355" spans="1:7" x14ac:dyDescent="0.15">
      <c r="A355" t="s">
        <v>464</v>
      </c>
      <c r="B355">
        <v>1914.56</v>
      </c>
      <c r="C355">
        <v>33.638500000000001</v>
      </c>
      <c r="D355">
        <v>39.597499999999997</v>
      </c>
      <c r="E355">
        <v>42.203299999999999</v>
      </c>
      <c r="F355">
        <v>30710.570791999999</v>
      </c>
      <c r="G355">
        <v>48.157195091200002</v>
      </c>
    </row>
    <row r="356" spans="1:7" x14ac:dyDescent="0.15">
      <c r="A356" t="s">
        <v>465</v>
      </c>
      <c r="B356">
        <v>704.63120000000004</v>
      </c>
      <c r="C356">
        <v>31.6053</v>
      </c>
      <c r="D356">
        <v>38.746699999999997</v>
      </c>
      <c r="E356">
        <v>41.4786</v>
      </c>
      <c r="F356">
        <v>18343.946445000001</v>
      </c>
      <c r="G356">
        <v>36.4550039768</v>
      </c>
    </row>
    <row r="357" spans="1:7" x14ac:dyDescent="0.15">
      <c r="A357" t="s">
        <v>466</v>
      </c>
      <c r="B357">
        <v>3390.0920000000001</v>
      </c>
      <c r="C357">
        <v>40.509</v>
      </c>
      <c r="D357">
        <v>43.299300000000002</v>
      </c>
      <c r="E357">
        <v>43.988199999999999</v>
      </c>
      <c r="F357">
        <v>23395.1578329</v>
      </c>
      <c r="G357">
        <v>17.0377941132</v>
      </c>
    </row>
    <row r="358" spans="1:7" x14ac:dyDescent="0.15">
      <c r="A358" t="s">
        <v>467</v>
      </c>
      <c r="B358">
        <v>1526.28</v>
      </c>
      <c r="C358">
        <v>37.2483</v>
      </c>
      <c r="D358">
        <v>40.818100000000001</v>
      </c>
      <c r="E358">
        <v>41.198700000000002</v>
      </c>
      <c r="F358">
        <v>17795.8762288</v>
      </c>
      <c r="G358">
        <v>12.847714185699999</v>
      </c>
    </row>
    <row r="359" spans="1:7" x14ac:dyDescent="0.15">
      <c r="A359" t="s">
        <v>468</v>
      </c>
      <c r="B359">
        <v>750.77440000000001</v>
      </c>
      <c r="C359">
        <v>34.4863</v>
      </c>
      <c r="D359">
        <v>39.005499999999998</v>
      </c>
      <c r="E359">
        <v>39.306899999999999</v>
      </c>
      <c r="F359">
        <v>12723.177706</v>
      </c>
      <c r="G359">
        <v>10.3364400864</v>
      </c>
    </row>
    <row r="360" spans="1:7" x14ac:dyDescent="0.15">
      <c r="A360" t="s">
        <v>469</v>
      </c>
      <c r="B360">
        <v>393.86959999999999</v>
      </c>
      <c r="C360">
        <v>32.101199999999999</v>
      </c>
      <c r="D360">
        <v>37.426099999999998</v>
      </c>
      <c r="E360">
        <v>37.593800000000002</v>
      </c>
      <c r="F360">
        <v>8860.7271580699999</v>
      </c>
      <c r="G360">
        <v>8.2559220790900003</v>
      </c>
    </row>
    <row r="361" spans="1:7" x14ac:dyDescent="0.15">
      <c r="A361" t="s">
        <v>470</v>
      </c>
      <c r="B361">
        <v>3855.0736000000002</v>
      </c>
      <c r="C361">
        <v>40.389200000000002</v>
      </c>
      <c r="D361">
        <v>43.496499999999997</v>
      </c>
      <c r="E361">
        <v>44.971299999999999</v>
      </c>
      <c r="F361">
        <v>20523.634621099998</v>
      </c>
      <c r="G361">
        <v>19.698035001800001</v>
      </c>
    </row>
    <row r="362" spans="1:7" x14ac:dyDescent="0.15">
      <c r="A362" t="s">
        <v>471</v>
      </c>
      <c r="B362">
        <v>1663.1479999999999</v>
      </c>
      <c r="C362">
        <v>37.457000000000001</v>
      </c>
      <c r="D362">
        <v>41.3825</v>
      </c>
      <c r="E362">
        <v>42.547899999999998</v>
      </c>
      <c r="F362">
        <v>13682.323936000001</v>
      </c>
      <c r="G362">
        <v>14.184134006500001</v>
      </c>
    </row>
    <row r="363" spans="1:7" x14ac:dyDescent="0.15">
      <c r="A363" t="s">
        <v>472</v>
      </c>
      <c r="B363">
        <v>814.76080000000002</v>
      </c>
      <c r="C363">
        <v>34.528599999999997</v>
      </c>
      <c r="D363">
        <v>39.775300000000001</v>
      </c>
      <c r="E363">
        <v>40.740400000000001</v>
      </c>
      <c r="F363">
        <v>9851.7208190000001</v>
      </c>
      <c r="G363">
        <v>10.8913731575</v>
      </c>
    </row>
    <row r="364" spans="1:7" x14ac:dyDescent="0.15">
      <c r="A364" t="s">
        <v>473</v>
      </c>
      <c r="B364">
        <v>414.32159999999999</v>
      </c>
      <c r="C364">
        <v>31.674199999999999</v>
      </c>
      <c r="D364">
        <v>38.520099999999999</v>
      </c>
      <c r="E364">
        <v>39.4176</v>
      </c>
      <c r="F364">
        <v>7561.8136739700003</v>
      </c>
      <c r="G364">
        <v>8.9902880191799994</v>
      </c>
    </row>
    <row r="365" spans="1:7" x14ac:dyDescent="0.15">
      <c r="A365" t="s">
        <v>474</v>
      </c>
      <c r="B365">
        <v>7666.3552</v>
      </c>
      <c r="C365">
        <v>38.4983</v>
      </c>
      <c r="D365">
        <v>41.430199999999999</v>
      </c>
      <c r="E365">
        <v>42.377899999999997</v>
      </c>
      <c r="F365">
        <v>23900.472974100001</v>
      </c>
      <c r="G365">
        <v>23.9488039017</v>
      </c>
    </row>
    <row r="366" spans="1:7" x14ac:dyDescent="0.15">
      <c r="A366" t="s">
        <v>475</v>
      </c>
      <c r="B366">
        <v>3067.1080000000002</v>
      </c>
      <c r="C366">
        <v>34.557499999999997</v>
      </c>
      <c r="D366">
        <v>38.606299999999997</v>
      </c>
      <c r="E366">
        <v>39.436500000000002</v>
      </c>
      <c r="F366">
        <v>15258.004873</v>
      </c>
      <c r="G366">
        <v>16.4303061962</v>
      </c>
    </row>
    <row r="367" spans="1:7" x14ac:dyDescent="0.15">
      <c r="A367" t="s">
        <v>476</v>
      </c>
      <c r="B367">
        <v>1346.8320000000001</v>
      </c>
      <c r="C367">
        <v>31.171099999999999</v>
      </c>
      <c r="D367">
        <v>36.708199999999998</v>
      </c>
      <c r="E367">
        <v>37.488500000000002</v>
      </c>
      <c r="F367">
        <v>10915.872191</v>
      </c>
      <c r="G367">
        <v>11.983672142</v>
      </c>
    </row>
    <row r="368" spans="1:7" x14ac:dyDescent="0.15">
      <c r="A368" t="s">
        <v>477</v>
      </c>
      <c r="B368">
        <v>578.99919999999997</v>
      </c>
      <c r="C368">
        <v>27.992799999999999</v>
      </c>
      <c r="D368">
        <v>35.369500000000002</v>
      </c>
      <c r="E368">
        <v>36.144100000000002</v>
      </c>
      <c r="F368">
        <v>7913.29488993</v>
      </c>
      <c r="G368">
        <v>9.3198599815400005</v>
      </c>
    </row>
    <row r="369" spans="1:7" x14ac:dyDescent="0.15">
      <c r="A369" t="s">
        <v>478</v>
      </c>
      <c r="B369">
        <v>5465.6743999999999</v>
      </c>
      <c r="C369">
        <v>40.137700000000002</v>
      </c>
      <c r="D369">
        <v>41.650100000000002</v>
      </c>
      <c r="E369">
        <v>42.9895</v>
      </c>
      <c r="F369">
        <v>21177.172924999999</v>
      </c>
      <c r="G369">
        <v>14.775510072699999</v>
      </c>
    </row>
    <row r="370" spans="1:7" x14ac:dyDescent="0.15">
      <c r="A370" t="s">
        <v>479</v>
      </c>
      <c r="B370">
        <v>2045.3335999999999</v>
      </c>
      <c r="C370">
        <v>36.283700000000003</v>
      </c>
      <c r="D370">
        <v>38.9818</v>
      </c>
      <c r="E370">
        <v>40.591900000000003</v>
      </c>
      <c r="F370">
        <v>13154.118481899999</v>
      </c>
      <c r="G370">
        <v>10.6517431736</v>
      </c>
    </row>
    <row r="371" spans="1:7" x14ac:dyDescent="0.15">
      <c r="A371" t="s">
        <v>480</v>
      </c>
      <c r="B371">
        <v>915.98159999999996</v>
      </c>
      <c r="C371">
        <v>33.253599999999999</v>
      </c>
      <c r="D371">
        <v>37.248399999999997</v>
      </c>
      <c r="E371">
        <v>39.050400000000003</v>
      </c>
      <c r="F371">
        <v>9933.9224779600008</v>
      </c>
      <c r="G371">
        <v>8.2753820419299995</v>
      </c>
    </row>
    <row r="372" spans="1:7" x14ac:dyDescent="0.15">
      <c r="A372" t="s">
        <v>481</v>
      </c>
      <c r="B372">
        <v>418.78800000000001</v>
      </c>
      <c r="C372">
        <v>30.465</v>
      </c>
      <c r="D372">
        <v>36.029299999999999</v>
      </c>
      <c r="E372">
        <v>37.828699999999998</v>
      </c>
      <c r="F372">
        <v>6752.8063790799997</v>
      </c>
      <c r="G372">
        <v>6.4647459983799997</v>
      </c>
    </row>
    <row r="373" spans="1:7" x14ac:dyDescent="0.15">
      <c r="A373" t="s">
        <v>482</v>
      </c>
      <c r="B373">
        <v>1566.2328</v>
      </c>
      <c r="C373">
        <v>41.259599999999999</v>
      </c>
      <c r="D373">
        <v>44.169199999999996</v>
      </c>
      <c r="E373">
        <v>43.625399999999999</v>
      </c>
      <c r="F373">
        <v>6332.9376881099997</v>
      </c>
      <c r="G373">
        <v>5.5316021442399999</v>
      </c>
    </row>
    <row r="374" spans="1:7" x14ac:dyDescent="0.15">
      <c r="A374" t="s">
        <v>483</v>
      </c>
      <c r="B374">
        <v>758.8</v>
      </c>
      <c r="C374">
        <v>37.197499999999998</v>
      </c>
      <c r="D374">
        <v>41.388599999999997</v>
      </c>
      <c r="E374">
        <v>40.3889</v>
      </c>
      <c r="F374">
        <v>4609.9061977900001</v>
      </c>
      <c r="G374">
        <v>4.0825471878100004</v>
      </c>
    </row>
    <row r="375" spans="1:7" x14ac:dyDescent="0.15">
      <c r="A375" t="s">
        <v>484</v>
      </c>
      <c r="B375">
        <v>383.37759999999997</v>
      </c>
      <c r="C375">
        <v>33.7776</v>
      </c>
      <c r="D375">
        <v>39.555700000000002</v>
      </c>
      <c r="E375">
        <v>38.337600000000002</v>
      </c>
      <c r="F375">
        <v>3561.1474418600001</v>
      </c>
      <c r="G375">
        <v>3.1763670444500001</v>
      </c>
    </row>
    <row r="376" spans="1:7" x14ac:dyDescent="0.15">
      <c r="A376" t="s">
        <v>485</v>
      </c>
      <c r="B376">
        <v>199.56960000000001</v>
      </c>
      <c r="C376">
        <v>30.9132</v>
      </c>
      <c r="D376">
        <v>38.0672</v>
      </c>
      <c r="E376">
        <v>36.652700000000003</v>
      </c>
      <c r="F376">
        <v>2514.2612888799999</v>
      </c>
      <c r="G376">
        <v>2.5570981502499999</v>
      </c>
    </row>
    <row r="377" spans="1:7" x14ac:dyDescent="0.15">
      <c r="A377" t="s">
        <v>486</v>
      </c>
      <c r="B377">
        <v>2259.9184</v>
      </c>
      <c r="C377">
        <v>38.492199999999997</v>
      </c>
      <c r="D377">
        <v>42.795499999999997</v>
      </c>
      <c r="E377">
        <v>43.878500000000003</v>
      </c>
      <c r="F377">
        <v>5022.0170660000003</v>
      </c>
      <c r="G377">
        <v>7.3281629085500004</v>
      </c>
    </row>
    <row r="378" spans="1:7" x14ac:dyDescent="0.15">
      <c r="A378" t="s">
        <v>487</v>
      </c>
      <c r="B378">
        <v>720.68960000000004</v>
      </c>
      <c r="C378">
        <v>34.4938</v>
      </c>
      <c r="D378">
        <v>40.754199999999997</v>
      </c>
      <c r="E378">
        <v>41.785499999999999</v>
      </c>
      <c r="F378">
        <v>2877.9735181299998</v>
      </c>
      <c r="G378">
        <v>4.5384578704800003</v>
      </c>
    </row>
    <row r="379" spans="1:7" x14ac:dyDescent="0.15">
      <c r="A379" t="s">
        <v>488</v>
      </c>
      <c r="B379">
        <v>263.65519999999998</v>
      </c>
      <c r="C379">
        <v>31.378900000000002</v>
      </c>
      <c r="D379">
        <v>39.334400000000002</v>
      </c>
      <c r="E379">
        <v>40.360700000000001</v>
      </c>
      <c r="F379">
        <v>1742.6645271800001</v>
      </c>
      <c r="G379">
        <v>3.1793699264500002</v>
      </c>
    </row>
    <row r="380" spans="1:7" x14ac:dyDescent="0.15">
      <c r="A380" t="s">
        <v>489</v>
      </c>
      <c r="B380">
        <v>103.4264</v>
      </c>
      <c r="C380">
        <v>28.487100000000002</v>
      </c>
      <c r="D380">
        <v>38.578600000000002</v>
      </c>
      <c r="E380">
        <v>39.362900000000003</v>
      </c>
      <c r="F380">
        <v>1214.0074350800001</v>
      </c>
      <c r="G380">
        <v>2.6885809898400002</v>
      </c>
    </row>
    <row r="381" spans="1:7" x14ac:dyDescent="0.15">
      <c r="A381" t="s">
        <v>490</v>
      </c>
      <c r="B381">
        <v>1827.3896</v>
      </c>
      <c r="C381">
        <v>38.277099999999997</v>
      </c>
      <c r="D381">
        <v>41.046599999999998</v>
      </c>
      <c r="E381">
        <v>41.799700000000001</v>
      </c>
      <c r="F381">
        <v>5085.5571820699997</v>
      </c>
      <c r="G381">
        <v>6.0375969409900003</v>
      </c>
    </row>
    <row r="382" spans="1:7" x14ac:dyDescent="0.15">
      <c r="A382" t="s">
        <v>491</v>
      </c>
      <c r="B382">
        <v>736.87040000000002</v>
      </c>
      <c r="C382">
        <v>34.407400000000003</v>
      </c>
      <c r="D382">
        <v>38.282400000000003</v>
      </c>
      <c r="E382">
        <v>38.847900000000003</v>
      </c>
      <c r="F382">
        <v>3369.4245519599999</v>
      </c>
      <c r="G382">
        <v>3.8428149223300001</v>
      </c>
    </row>
    <row r="383" spans="1:7" x14ac:dyDescent="0.15">
      <c r="A383" t="s">
        <v>492</v>
      </c>
      <c r="B383">
        <v>319.44319999999999</v>
      </c>
      <c r="C383">
        <v>30.991099999999999</v>
      </c>
      <c r="D383">
        <v>36.299700000000001</v>
      </c>
      <c r="E383">
        <v>36.8354</v>
      </c>
      <c r="F383">
        <v>2393.3413250399999</v>
      </c>
      <c r="G383">
        <v>2.81371617317</v>
      </c>
    </row>
    <row r="384" spans="1:7" x14ac:dyDescent="0.15">
      <c r="A384" t="s">
        <v>493</v>
      </c>
      <c r="B384">
        <v>138.50640000000001</v>
      </c>
      <c r="C384">
        <v>27.994900000000001</v>
      </c>
      <c r="D384">
        <v>34.873899999999999</v>
      </c>
      <c r="E384">
        <v>35.442</v>
      </c>
      <c r="F384">
        <v>1689.86774302</v>
      </c>
      <c r="G384">
        <v>2.2065260410300001</v>
      </c>
    </row>
    <row r="385" spans="1:7" x14ac:dyDescent="0.15">
      <c r="A385" t="s">
        <v>494</v>
      </c>
      <c r="B385">
        <v>1230.672</v>
      </c>
      <c r="C385">
        <v>40.1997</v>
      </c>
      <c r="D385">
        <v>41.549399999999999</v>
      </c>
      <c r="E385">
        <v>42.581499999999998</v>
      </c>
      <c r="F385">
        <v>4559.60208392</v>
      </c>
      <c r="G385">
        <v>3.94148612022</v>
      </c>
    </row>
    <row r="386" spans="1:7" x14ac:dyDescent="0.15">
      <c r="A386" t="s">
        <v>495</v>
      </c>
      <c r="B386">
        <v>566.87519999999995</v>
      </c>
      <c r="C386">
        <v>35.976199999999999</v>
      </c>
      <c r="D386">
        <v>38.624899999999997</v>
      </c>
      <c r="E386">
        <v>39.820099999999996</v>
      </c>
      <c r="F386">
        <v>3140.0220551500001</v>
      </c>
      <c r="G386">
        <v>2.8604900836899998</v>
      </c>
    </row>
    <row r="387" spans="1:7" x14ac:dyDescent="0.15">
      <c r="A387" t="s">
        <v>496</v>
      </c>
      <c r="B387">
        <v>274.99119999999999</v>
      </c>
      <c r="C387">
        <v>32.444800000000001</v>
      </c>
      <c r="D387">
        <v>36.843000000000004</v>
      </c>
      <c r="E387">
        <v>38.002600000000001</v>
      </c>
      <c r="F387">
        <v>2305.7027068100001</v>
      </c>
      <c r="G387">
        <v>2.2077350616500002</v>
      </c>
    </row>
    <row r="388" spans="1:7" x14ac:dyDescent="0.15">
      <c r="A388" t="s">
        <v>497</v>
      </c>
      <c r="B388">
        <v>135.05840000000001</v>
      </c>
      <c r="C388">
        <v>29.59</v>
      </c>
      <c r="D388">
        <v>35.480200000000004</v>
      </c>
      <c r="E388">
        <v>36.505499999999998</v>
      </c>
      <c r="F388">
        <v>1600.78512907</v>
      </c>
      <c r="G388">
        <v>1.67818498611</v>
      </c>
    </row>
    <row r="389" spans="1:7" x14ac:dyDescent="0.15">
      <c r="A389" t="s">
        <v>498</v>
      </c>
      <c r="B389">
        <v>2164.6</v>
      </c>
      <c r="C389">
        <v>42.883499999999998</v>
      </c>
      <c r="D389">
        <v>46.877299999999998</v>
      </c>
      <c r="E389">
        <v>48.2134</v>
      </c>
      <c r="F389">
        <v>22514.6714311</v>
      </c>
      <c r="G389">
        <v>25.970328807800001</v>
      </c>
    </row>
    <row r="390" spans="1:7" x14ac:dyDescent="0.15">
      <c r="A390" t="s">
        <v>499</v>
      </c>
      <c r="B390">
        <v>772.51760000000002</v>
      </c>
      <c r="C390">
        <v>40.564399999999999</v>
      </c>
      <c r="D390">
        <v>44.8855</v>
      </c>
      <c r="E390">
        <v>46.235300000000002</v>
      </c>
      <c r="F390">
        <v>13256.6966491</v>
      </c>
      <c r="G390">
        <v>17.714457988700001</v>
      </c>
    </row>
    <row r="391" spans="1:7" x14ac:dyDescent="0.15">
      <c r="A391" t="s">
        <v>500</v>
      </c>
      <c r="B391">
        <v>381.05919999999998</v>
      </c>
      <c r="C391">
        <v>38.004100000000001</v>
      </c>
      <c r="D391">
        <v>43.261899999999997</v>
      </c>
      <c r="E391">
        <v>44.589599999999997</v>
      </c>
      <c r="F391">
        <v>9145.4555699800003</v>
      </c>
      <c r="G391">
        <v>14.096231937400001</v>
      </c>
    </row>
    <row r="392" spans="1:7" x14ac:dyDescent="0.15">
      <c r="A392" t="s">
        <v>501</v>
      </c>
      <c r="B392">
        <v>201.304</v>
      </c>
      <c r="C392">
        <v>35.163400000000003</v>
      </c>
      <c r="D392">
        <v>41.892600000000002</v>
      </c>
      <c r="E392">
        <v>43.086199999999998</v>
      </c>
      <c r="F392">
        <v>6831.5883648400004</v>
      </c>
      <c r="G392">
        <v>12.193346977199999</v>
      </c>
    </row>
    <row r="393" spans="1:7" x14ac:dyDescent="0.15">
      <c r="A393" t="s">
        <v>502</v>
      </c>
      <c r="B393">
        <v>1619.7840000000001</v>
      </c>
      <c r="C393">
        <v>43.206600000000002</v>
      </c>
      <c r="D393">
        <v>48.454500000000003</v>
      </c>
      <c r="E393">
        <v>49.142299999999999</v>
      </c>
      <c r="F393">
        <v>19639.533072900002</v>
      </c>
      <c r="G393">
        <v>23.5226399899</v>
      </c>
    </row>
    <row r="394" spans="1:7" x14ac:dyDescent="0.15">
      <c r="A394" t="s">
        <v>503</v>
      </c>
      <c r="B394">
        <v>371.62799999999999</v>
      </c>
      <c r="C394">
        <v>41.428100000000001</v>
      </c>
      <c r="D394">
        <v>46.868899999999996</v>
      </c>
      <c r="E394">
        <v>47.581499999999998</v>
      </c>
      <c r="F394">
        <v>9707.1126568300006</v>
      </c>
      <c r="G394">
        <v>15.2327749729</v>
      </c>
    </row>
    <row r="395" spans="1:7" x14ac:dyDescent="0.15">
      <c r="A395" t="s">
        <v>504</v>
      </c>
      <c r="B395">
        <v>158.6816</v>
      </c>
      <c r="C395">
        <v>39.423000000000002</v>
      </c>
      <c r="D395">
        <v>45.262300000000003</v>
      </c>
      <c r="E395">
        <v>46.022199999999998</v>
      </c>
      <c r="F395">
        <v>6273.6008880099998</v>
      </c>
      <c r="G395">
        <v>12.772149086000001</v>
      </c>
    </row>
    <row r="396" spans="1:7" x14ac:dyDescent="0.15">
      <c r="A396" t="s">
        <v>505</v>
      </c>
      <c r="B396">
        <v>83.724800000000002</v>
      </c>
      <c r="C396">
        <v>37.058700000000002</v>
      </c>
      <c r="D396">
        <v>44.039200000000001</v>
      </c>
      <c r="E396">
        <v>44.555399999999999</v>
      </c>
      <c r="F396">
        <v>4116.4388458699996</v>
      </c>
      <c r="G396">
        <v>11.400990963</v>
      </c>
    </row>
    <row r="397" spans="1:7" x14ac:dyDescent="0.15">
      <c r="A397" t="s">
        <v>506</v>
      </c>
      <c r="B397">
        <v>1933.8448000000001</v>
      </c>
      <c r="C397">
        <v>43.555900000000001</v>
      </c>
      <c r="D397">
        <v>47.685699999999997</v>
      </c>
      <c r="E397">
        <v>48.650399999999998</v>
      </c>
      <c r="F397">
        <v>24298.167290000001</v>
      </c>
      <c r="G397">
        <v>25.265621900599999</v>
      </c>
    </row>
    <row r="398" spans="1:7" x14ac:dyDescent="0.15">
      <c r="A398" t="s">
        <v>507</v>
      </c>
      <c r="B398">
        <v>613.22080000000005</v>
      </c>
      <c r="C398">
        <v>41.479199999999999</v>
      </c>
      <c r="D398">
        <v>45.762099999999997</v>
      </c>
      <c r="E398">
        <v>46.756700000000002</v>
      </c>
      <c r="F398">
        <v>13596.311948099999</v>
      </c>
      <c r="G398">
        <v>18.045002937300001</v>
      </c>
    </row>
    <row r="399" spans="1:7" x14ac:dyDescent="0.15">
      <c r="A399" t="s">
        <v>508</v>
      </c>
      <c r="B399">
        <v>272.59120000000001</v>
      </c>
      <c r="C399">
        <v>39.192100000000003</v>
      </c>
      <c r="D399">
        <v>44.063299999999998</v>
      </c>
      <c r="E399">
        <v>45.177300000000002</v>
      </c>
      <c r="F399">
        <v>9200.8858308800009</v>
      </c>
      <c r="G399">
        <v>15.1697499752</v>
      </c>
    </row>
    <row r="400" spans="1:7" x14ac:dyDescent="0.15">
      <c r="A400" t="s">
        <v>509</v>
      </c>
      <c r="B400">
        <v>140.85679999999999</v>
      </c>
      <c r="C400">
        <v>36.625599999999999</v>
      </c>
      <c r="D400">
        <v>42.779800000000002</v>
      </c>
      <c r="E400">
        <v>44.015700000000002</v>
      </c>
      <c r="F400">
        <v>5998.0694251100003</v>
      </c>
      <c r="G400">
        <v>13.0921859741</v>
      </c>
    </row>
    <row r="401" spans="1:7" x14ac:dyDescent="0.15">
      <c r="A401" t="s">
        <v>510</v>
      </c>
      <c r="B401">
        <v>3593.6792</v>
      </c>
      <c r="C401">
        <v>40.613999999999997</v>
      </c>
      <c r="D401">
        <v>43.165799999999997</v>
      </c>
      <c r="E401">
        <v>43.8003</v>
      </c>
      <c r="F401">
        <v>22555.879639899998</v>
      </c>
      <c r="G401">
        <v>17.024314880399999</v>
      </c>
    </row>
    <row r="402" spans="1:7" x14ac:dyDescent="0.15">
      <c r="A402" t="s">
        <v>511</v>
      </c>
      <c r="B402">
        <v>1627.5488</v>
      </c>
      <c r="C402">
        <v>37.227400000000003</v>
      </c>
      <c r="D402">
        <v>40.4161</v>
      </c>
      <c r="E402">
        <v>40.8264</v>
      </c>
      <c r="F402">
        <v>17004.224690899999</v>
      </c>
      <c r="G402">
        <v>12.685087919200001</v>
      </c>
    </row>
    <row r="403" spans="1:7" x14ac:dyDescent="0.15">
      <c r="A403" t="s">
        <v>512</v>
      </c>
      <c r="B403">
        <v>804.72640000000001</v>
      </c>
      <c r="C403">
        <v>34.354999999999997</v>
      </c>
      <c r="D403">
        <v>38.362900000000003</v>
      </c>
      <c r="E403">
        <v>38.712400000000002</v>
      </c>
      <c r="F403">
        <v>12094.651783900001</v>
      </c>
      <c r="G403">
        <v>10.3766229153</v>
      </c>
    </row>
    <row r="404" spans="1:7" x14ac:dyDescent="0.15">
      <c r="A404" t="s">
        <v>513</v>
      </c>
      <c r="B404">
        <v>423.1728</v>
      </c>
      <c r="C404">
        <v>31.763200000000001</v>
      </c>
      <c r="D404">
        <v>36.729599999999998</v>
      </c>
      <c r="E404">
        <v>36.890900000000002</v>
      </c>
      <c r="F404">
        <v>8592.6221509000006</v>
      </c>
      <c r="G404">
        <v>8.28801679611</v>
      </c>
    </row>
    <row r="405" spans="1:7" x14ac:dyDescent="0.15">
      <c r="A405" t="s">
        <v>514</v>
      </c>
      <c r="B405">
        <v>13678.191999999999</v>
      </c>
      <c r="C405">
        <v>42.374099999999999</v>
      </c>
      <c r="D405">
        <v>44.205800000000004</v>
      </c>
      <c r="E405">
        <v>44.8994</v>
      </c>
      <c r="F405">
        <v>78060.031048999997</v>
      </c>
      <c r="G405">
        <v>89.265703916500001</v>
      </c>
    </row>
    <row r="406" spans="1:7" x14ac:dyDescent="0.15">
      <c r="A406" t="s">
        <v>515</v>
      </c>
      <c r="B406">
        <v>5719.9296000000004</v>
      </c>
      <c r="C406">
        <v>38.9116</v>
      </c>
      <c r="D406">
        <v>41.4666</v>
      </c>
      <c r="E406">
        <v>41.951900000000002</v>
      </c>
      <c r="F406">
        <v>55793.702838899997</v>
      </c>
      <c r="G406">
        <v>62.028731107699997</v>
      </c>
    </row>
    <row r="407" spans="1:7" x14ac:dyDescent="0.15">
      <c r="A407" t="s">
        <v>516</v>
      </c>
      <c r="B407">
        <v>2649.8591999999999</v>
      </c>
      <c r="C407">
        <v>35.933199999999999</v>
      </c>
      <c r="D407">
        <v>39.529200000000003</v>
      </c>
      <c r="E407">
        <v>39.871299999999998</v>
      </c>
      <c r="F407">
        <v>42850.108248899996</v>
      </c>
      <c r="G407">
        <v>50.103420972800002</v>
      </c>
    </row>
    <row r="408" spans="1:7" x14ac:dyDescent="0.15">
      <c r="A408" t="s">
        <v>517</v>
      </c>
      <c r="B408">
        <v>1315.0871999999999</v>
      </c>
      <c r="C408">
        <v>33.2455</v>
      </c>
      <c r="D408">
        <v>37.978200000000001</v>
      </c>
      <c r="E408">
        <v>38.1661</v>
      </c>
      <c r="F408">
        <v>30145.8005691</v>
      </c>
      <c r="G408">
        <v>39.132692098600003</v>
      </c>
    </row>
    <row r="409" spans="1:7" x14ac:dyDescent="0.15">
      <c r="A409" t="s">
        <v>518</v>
      </c>
      <c r="B409">
        <v>280.65120000000002</v>
      </c>
      <c r="C409">
        <v>47.358600000000003</v>
      </c>
      <c r="D409">
        <v>45.725299999999997</v>
      </c>
      <c r="E409">
        <v>45.982999999999997</v>
      </c>
      <c r="F409">
        <v>2451.5367269499998</v>
      </c>
      <c r="G409">
        <v>5.4551119804399999</v>
      </c>
    </row>
    <row r="410" spans="1:7" x14ac:dyDescent="0.15">
      <c r="A410" t="s">
        <v>519</v>
      </c>
      <c r="B410">
        <v>209.376</v>
      </c>
      <c r="C410">
        <v>43.078600000000002</v>
      </c>
      <c r="D410">
        <v>41.660899999999998</v>
      </c>
      <c r="E410">
        <v>42.0456</v>
      </c>
      <c r="F410">
        <v>2102.7203869800001</v>
      </c>
      <c r="G410">
        <v>5.2845458984400002</v>
      </c>
    </row>
    <row r="411" spans="1:7" x14ac:dyDescent="0.15">
      <c r="A411" t="s">
        <v>520</v>
      </c>
      <c r="B411">
        <v>155.2912</v>
      </c>
      <c r="C411">
        <v>38.47</v>
      </c>
      <c r="D411">
        <v>39.478299999999997</v>
      </c>
      <c r="E411">
        <v>40.044800000000002</v>
      </c>
      <c r="F411">
        <v>1914.99539304</v>
      </c>
      <c r="G411">
        <v>5.1657140254999998</v>
      </c>
    </row>
    <row r="412" spans="1:7" x14ac:dyDescent="0.15">
      <c r="A412" t="s">
        <v>521</v>
      </c>
      <c r="B412">
        <v>112.8544</v>
      </c>
      <c r="C412">
        <v>33.560600000000001</v>
      </c>
      <c r="D412">
        <v>38.334299999999999</v>
      </c>
      <c r="E412">
        <v>38.8078</v>
      </c>
      <c r="F412">
        <v>1768.8573160200001</v>
      </c>
      <c r="G412">
        <v>4.993019104</v>
      </c>
    </row>
    <row r="413" spans="1:7" x14ac:dyDescent="0.15">
      <c r="A413" t="s">
        <v>522</v>
      </c>
      <c r="B413">
        <v>588.85249999999996</v>
      </c>
      <c r="C413">
        <v>49.390099999999997</v>
      </c>
      <c r="D413">
        <v>52.907200000000003</v>
      </c>
      <c r="E413">
        <v>53.9345</v>
      </c>
      <c r="F413">
        <v>11065.523498099999</v>
      </c>
      <c r="G413">
        <v>14.690459966700001</v>
      </c>
    </row>
    <row r="414" spans="1:7" x14ac:dyDescent="0.15">
      <c r="A414" t="s">
        <v>523</v>
      </c>
      <c r="B414">
        <v>322.03840000000002</v>
      </c>
      <c r="C414">
        <v>45.367699999999999</v>
      </c>
      <c r="D414">
        <v>49.595599999999997</v>
      </c>
      <c r="E414">
        <v>50.798900000000003</v>
      </c>
      <c r="F414">
        <v>9142.0193688899999</v>
      </c>
      <c r="G414">
        <v>13.5585780144</v>
      </c>
    </row>
    <row r="415" spans="1:7" x14ac:dyDescent="0.15">
      <c r="A415" t="s">
        <v>524</v>
      </c>
      <c r="B415">
        <v>182.80350000000001</v>
      </c>
      <c r="C415">
        <v>41.642200000000003</v>
      </c>
      <c r="D415">
        <v>47.219499999999996</v>
      </c>
      <c r="E415">
        <v>48.324199999999998</v>
      </c>
      <c r="F415">
        <v>7330.2553610799996</v>
      </c>
      <c r="G415">
        <v>12.4541089535</v>
      </c>
    </row>
    <row r="416" spans="1:7" x14ac:dyDescent="0.15">
      <c r="A416" t="s">
        <v>525</v>
      </c>
      <c r="B416">
        <v>108.8736</v>
      </c>
      <c r="C416">
        <v>37.8797</v>
      </c>
      <c r="D416">
        <v>45.154800000000002</v>
      </c>
      <c r="E416">
        <v>46.947699999999998</v>
      </c>
      <c r="F416">
        <v>5825.22035289</v>
      </c>
      <c r="G416">
        <v>11.4980740547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416"/>
  <sheetViews>
    <sheetView workbookViewId="0">
      <selection activeCell="B1" sqref="B1"/>
    </sheetView>
  </sheetViews>
  <sheetFormatPr defaultColWidth="9" defaultRowHeight="14.25" x14ac:dyDescent="0.15"/>
  <cols>
    <col min="1" max="1" width="57.625" style="21" customWidth="1"/>
  </cols>
  <sheetData>
    <row r="1" spans="1:7" x14ac:dyDescent="0.15">
      <c r="A1" t="s">
        <v>111</v>
      </c>
      <c r="B1">
        <v>18716.233</v>
      </c>
      <c r="C1">
        <v>41.749099999999999</v>
      </c>
      <c r="D1">
        <v>49.513800000000003</v>
      </c>
      <c r="E1">
        <v>48.330800000000004</v>
      </c>
      <c r="F1">
        <v>78988.192713299999</v>
      </c>
      <c r="G1">
        <v>37.718219041799998</v>
      </c>
    </row>
    <row r="2" spans="1:7" x14ac:dyDescent="0.15">
      <c r="A2" t="s">
        <v>112</v>
      </c>
      <c r="B2">
        <v>5692.1822000000002</v>
      </c>
      <c r="C2">
        <v>40.234900000000003</v>
      </c>
      <c r="D2">
        <v>48.504600000000003</v>
      </c>
      <c r="E2">
        <v>46.674500000000002</v>
      </c>
      <c r="F2">
        <v>29527.811371799999</v>
      </c>
      <c r="G2">
        <v>28.9210410118</v>
      </c>
    </row>
    <row r="3" spans="1:7" x14ac:dyDescent="0.15">
      <c r="A3" t="s">
        <v>113</v>
      </c>
      <c r="B3">
        <v>3174.6923999999999</v>
      </c>
      <c r="C3">
        <v>39.412300000000002</v>
      </c>
      <c r="D3">
        <v>47.492899999999999</v>
      </c>
      <c r="E3">
        <v>45.246200000000002</v>
      </c>
      <c r="F3">
        <v>10179.915727899999</v>
      </c>
      <c r="G3">
        <v>26.078606843900001</v>
      </c>
    </row>
    <row r="4" spans="1:7" x14ac:dyDescent="0.15">
      <c r="A4" t="s">
        <v>114</v>
      </c>
      <c r="B4">
        <v>1898.4485999999999</v>
      </c>
      <c r="C4">
        <v>38.230800000000002</v>
      </c>
      <c r="D4">
        <v>46.530500000000004</v>
      </c>
      <c r="E4">
        <v>43.917499999999997</v>
      </c>
      <c r="F4">
        <v>3508.6332023099999</v>
      </c>
      <c r="G4">
        <v>22.9638698101</v>
      </c>
    </row>
    <row r="5" spans="1:7" x14ac:dyDescent="0.15">
      <c r="A5" t="s">
        <v>115</v>
      </c>
      <c r="B5">
        <v>15378.506799999999</v>
      </c>
      <c r="C5">
        <v>45.169899999999998</v>
      </c>
      <c r="D5">
        <v>49.698900000000002</v>
      </c>
      <c r="E5">
        <v>50.445599999999999</v>
      </c>
      <c r="F5">
        <v>47346.567941000001</v>
      </c>
      <c r="G5">
        <v>36.079972982400001</v>
      </c>
    </row>
    <row r="6" spans="1:7" x14ac:dyDescent="0.15">
      <c r="A6" t="s">
        <v>116</v>
      </c>
      <c r="B6">
        <v>8790.6205000000009</v>
      </c>
      <c r="C6">
        <v>43.6982</v>
      </c>
      <c r="D6">
        <v>47.5443</v>
      </c>
      <c r="E6">
        <v>48.156100000000002</v>
      </c>
      <c r="F6">
        <v>21500.356043100001</v>
      </c>
      <c r="G6">
        <v>31.5950818062</v>
      </c>
    </row>
    <row r="7" spans="1:7" x14ac:dyDescent="0.15">
      <c r="A7" t="s">
        <v>117</v>
      </c>
      <c r="B7">
        <v>5275.3752999999997</v>
      </c>
      <c r="C7">
        <v>41.918999999999997</v>
      </c>
      <c r="D7">
        <v>45.791499999999999</v>
      </c>
      <c r="E7">
        <v>46.238</v>
      </c>
      <c r="F7">
        <v>12390.8056557</v>
      </c>
      <c r="G7">
        <v>28.546933174100001</v>
      </c>
    </row>
    <row r="8" spans="1:7" x14ac:dyDescent="0.15">
      <c r="A8" t="s">
        <v>118</v>
      </c>
      <c r="B8">
        <v>3150.1152999999999</v>
      </c>
      <c r="C8">
        <v>39.694600000000001</v>
      </c>
      <c r="D8">
        <v>44.419600000000003</v>
      </c>
      <c r="E8">
        <v>44.711100000000002</v>
      </c>
      <c r="F8">
        <v>6018.2375102100004</v>
      </c>
      <c r="G8">
        <v>25.891524076500001</v>
      </c>
    </row>
    <row r="9" spans="1:7" x14ac:dyDescent="0.15">
      <c r="A9" t="s">
        <v>119</v>
      </c>
      <c r="B9">
        <v>21433.468400000002</v>
      </c>
      <c r="C9">
        <v>43.234900000000003</v>
      </c>
      <c r="D9">
        <v>45.887799999999999</v>
      </c>
      <c r="E9">
        <v>43.726100000000002</v>
      </c>
      <c r="F9">
        <v>76460.522056100002</v>
      </c>
      <c r="G9">
        <v>44.2741868496</v>
      </c>
    </row>
    <row r="10" spans="1:7" x14ac:dyDescent="0.15">
      <c r="A10" t="s">
        <v>120</v>
      </c>
      <c r="B10">
        <v>8937.7855</v>
      </c>
      <c r="C10">
        <v>39.623199999999997</v>
      </c>
      <c r="D10">
        <v>42.035600000000002</v>
      </c>
      <c r="E10">
        <v>41.6708</v>
      </c>
      <c r="F10">
        <v>48169.486576199997</v>
      </c>
      <c r="G10">
        <v>33.851857900600002</v>
      </c>
    </row>
    <row r="11" spans="1:7" x14ac:dyDescent="0.15">
      <c r="A11" t="s">
        <v>121</v>
      </c>
      <c r="B11">
        <v>3252.9529000000002</v>
      </c>
      <c r="C11">
        <v>37.311399999999999</v>
      </c>
      <c r="D11">
        <v>39.412700000000001</v>
      </c>
      <c r="E11">
        <v>40.313899999999997</v>
      </c>
      <c r="F11">
        <v>25102.174824000002</v>
      </c>
      <c r="G11">
        <v>26.920595884299999</v>
      </c>
    </row>
    <row r="12" spans="1:7" x14ac:dyDescent="0.15">
      <c r="A12" t="s">
        <v>122</v>
      </c>
      <c r="B12">
        <v>1754.3028999999999</v>
      </c>
      <c r="C12">
        <v>35.940899999999999</v>
      </c>
      <c r="D12">
        <v>37.466999999999999</v>
      </c>
      <c r="E12">
        <v>39.154000000000003</v>
      </c>
      <c r="F12">
        <v>10466.131535</v>
      </c>
      <c r="G12">
        <v>23.810404777500001</v>
      </c>
    </row>
    <row r="13" spans="1:7" x14ac:dyDescent="0.15">
      <c r="A13" t="s">
        <v>123</v>
      </c>
      <c r="B13">
        <v>33929.6037</v>
      </c>
      <c r="C13">
        <v>42.419800000000002</v>
      </c>
      <c r="D13">
        <v>42.516300000000001</v>
      </c>
      <c r="E13">
        <v>44.122399999999999</v>
      </c>
      <c r="F13">
        <v>83659.381686299996</v>
      </c>
      <c r="G13">
        <v>46.223879814100002</v>
      </c>
    </row>
    <row r="14" spans="1:7" x14ac:dyDescent="0.15">
      <c r="A14" t="s">
        <v>124</v>
      </c>
      <c r="B14">
        <v>11553.8858</v>
      </c>
      <c r="C14">
        <v>39.894100000000002</v>
      </c>
      <c r="D14">
        <v>41.402999999999999</v>
      </c>
      <c r="E14">
        <v>42.4666</v>
      </c>
      <c r="F14">
        <v>44590.3051443</v>
      </c>
      <c r="G14">
        <v>34.021543979599997</v>
      </c>
    </row>
    <row r="15" spans="1:7" x14ac:dyDescent="0.15">
      <c r="A15" t="s">
        <v>125</v>
      </c>
      <c r="B15">
        <v>6676.7937000000002</v>
      </c>
      <c r="C15">
        <v>38.529499999999999</v>
      </c>
      <c r="D15">
        <v>40.626399999999997</v>
      </c>
      <c r="E15">
        <v>41.059899999999999</v>
      </c>
      <c r="F15">
        <v>21429.644568899999</v>
      </c>
      <c r="G15">
        <v>29.905854940400001</v>
      </c>
    </row>
    <row r="16" spans="1:7" x14ac:dyDescent="0.15">
      <c r="A16" t="s">
        <v>126</v>
      </c>
      <c r="B16">
        <v>3987.54</v>
      </c>
      <c r="C16">
        <v>36.663699999999999</v>
      </c>
      <c r="D16">
        <v>39.900300000000001</v>
      </c>
      <c r="E16">
        <v>39.830300000000001</v>
      </c>
      <c r="F16">
        <v>10616.138227199999</v>
      </c>
      <c r="G16">
        <v>25.870052099199999</v>
      </c>
    </row>
    <row r="17" spans="1:7" x14ac:dyDescent="0.15">
      <c r="A17" t="s">
        <v>127</v>
      </c>
      <c r="B17">
        <v>62966.951099999998</v>
      </c>
      <c r="C17">
        <v>41.378500000000003</v>
      </c>
      <c r="D17">
        <v>46.072200000000002</v>
      </c>
      <c r="E17">
        <v>44.062199999999997</v>
      </c>
      <c r="F17">
        <v>121392.165696</v>
      </c>
      <c r="G17">
        <v>53.235498905199996</v>
      </c>
    </row>
    <row r="18" spans="1:7" x14ac:dyDescent="0.15">
      <c r="A18" t="s">
        <v>128</v>
      </c>
      <c r="B18">
        <v>11917.5332</v>
      </c>
      <c r="C18">
        <v>37.770899999999997</v>
      </c>
      <c r="D18">
        <v>44.832500000000003</v>
      </c>
      <c r="E18">
        <v>42.441099999999999</v>
      </c>
      <c r="F18">
        <v>59267.414550100002</v>
      </c>
      <c r="G18">
        <v>33.768098115900003</v>
      </c>
    </row>
    <row r="19" spans="1:7" x14ac:dyDescent="0.15">
      <c r="A19" t="s">
        <v>129</v>
      </c>
      <c r="B19">
        <v>6395.0384000000004</v>
      </c>
      <c r="C19">
        <v>36.734200000000001</v>
      </c>
      <c r="D19">
        <v>43.776800000000001</v>
      </c>
      <c r="E19">
        <v>41.1404</v>
      </c>
      <c r="F19">
        <v>25792.042243200001</v>
      </c>
      <c r="G19">
        <v>28.426303148300001</v>
      </c>
    </row>
    <row r="20" spans="1:7" x14ac:dyDescent="0.15">
      <c r="A20" t="s">
        <v>130</v>
      </c>
      <c r="B20">
        <v>3566.0446999999999</v>
      </c>
      <c r="C20">
        <v>35.285200000000003</v>
      </c>
      <c r="D20">
        <v>42.874499999999998</v>
      </c>
      <c r="E20">
        <v>40.152099999999997</v>
      </c>
      <c r="F20">
        <v>11611.464007099999</v>
      </c>
      <c r="G20">
        <v>25.212528943999999</v>
      </c>
    </row>
    <row r="21" spans="1:7" x14ac:dyDescent="0.15">
      <c r="A21" t="s">
        <v>131</v>
      </c>
      <c r="B21">
        <v>49553.123699999996</v>
      </c>
      <c r="C21">
        <v>46.429099999999998</v>
      </c>
      <c r="D21">
        <v>40.703800000000001</v>
      </c>
      <c r="E21">
        <v>41.137500000000003</v>
      </c>
      <c r="F21">
        <v>80644.687594000003</v>
      </c>
      <c r="G21">
        <v>57.041071176499997</v>
      </c>
    </row>
    <row r="22" spans="1:7" x14ac:dyDescent="0.15">
      <c r="A22" t="s">
        <v>132</v>
      </c>
      <c r="B22">
        <v>28029.855299999999</v>
      </c>
      <c r="C22">
        <v>42.5364</v>
      </c>
      <c r="D22">
        <v>36.968000000000004</v>
      </c>
      <c r="E22">
        <v>37.836100000000002</v>
      </c>
      <c r="F22">
        <v>55468.525165999999</v>
      </c>
      <c r="G22">
        <v>48.068490028399999</v>
      </c>
    </row>
    <row r="23" spans="1:7" x14ac:dyDescent="0.15">
      <c r="A23" t="s">
        <v>133</v>
      </c>
      <c r="B23">
        <v>15578.6145</v>
      </c>
      <c r="C23">
        <v>38.830100000000002</v>
      </c>
      <c r="D23">
        <v>34.429499999999997</v>
      </c>
      <c r="E23">
        <v>35.556899999999999</v>
      </c>
      <c r="F23">
        <v>38391.478597399997</v>
      </c>
      <c r="G23">
        <v>39.310624837900001</v>
      </c>
    </row>
    <row r="24" spans="1:7" x14ac:dyDescent="0.15">
      <c r="A24" t="s">
        <v>134</v>
      </c>
      <c r="B24">
        <v>8483.1908000000003</v>
      </c>
      <c r="C24">
        <v>35.3977</v>
      </c>
      <c r="D24">
        <v>32.697099999999999</v>
      </c>
      <c r="E24">
        <v>34.020099999999999</v>
      </c>
      <c r="F24">
        <v>23263.361091899998</v>
      </c>
      <c r="G24">
        <v>33.715399980500003</v>
      </c>
    </row>
    <row r="25" spans="1:7" x14ac:dyDescent="0.15">
      <c r="A25" t="s">
        <v>135</v>
      </c>
      <c r="B25">
        <v>10306.183199999999</v>
      </c>
      <c r="C25">
        <v>42.8782</v>
      </c>
      <c r="D25">
        <v>45.1113</v>
      </c>
      <c r="E25">
        <v>45.727200000000003</v>
      </c>
      <c r="F25">
        <v>43523.503646600002</v>
      </c>
      <c r="G25">
        <v>22.080079078699999</v>
      </c>
    </row>
    <row r="26" spans="1:7" x14ac:dyDescent="0.15">
      <c r="A26" t="s">
        <v>136</v>
      </c>
      <c r="B26">
        <v>5547.6592000000001</v>
      </c>
      <c r="C26">
        <v>40.2166</v>
      </c>
      <c r="D26">
        <v>42.966299999999997</v>
      </c>
      <c r="E26">
        <v>43.914400000000001</v>
      </c>
      <c r="F26">
        <v>25632.4799552</v>
      </c>
      <c r="G26">
        <v>18.572690963700001</v>
      </c>
    </row>
    <row r="27" spans="1:7" x14ac:dyDescent="0.15">
      <c r="A27" t="s">
        <v>137</v>
      </c>
      <c r="B27">
        <v>3102.8872000000001</v>
      </c>
      <c r="C27">
        <v>37.729900000000001</v>
      </c>
      <c r="D27">
        <v>41.455100000000002</v>
      </c>
      <c r="E27">
        <v>42.450800000000001</v>
      </c>
      <c r="F27">
        <v>15599.695662</v>
      </c>
      <c r="G27">
        <v>16.336686134299999</v>
      </c>
    </row>
    <row r="28" spans="1:7" x14ac:dyDescent="0.15">
      <c r="A28" t="s">
        <v>138</v>
      </c>
      <c r="B28">
        <v>1653.8304000000001</v>
      </c>
      <c r="C28">
        <v>35.127899999999997</v>
      </c>
      <c r="D28">
        <v>40.375100000000003</v>
      </c>
      <c r="E28">
        <v>41.335099999999997</v>
      </c>
      <c r="F28">
        <v>8495.1716036800008</v>
      </c>
      <c r="G28">
        <v>14.1623039246</v>
      </c>
    </row>
    <row r="29" spans="1:7" x14ac:dyDescent="0.15">
      <c r="A29" t="s">
        <v>139</v>
      </c>
      <c r="B29">
        <v>6019.4160000000002</v>
      </c>
      <c r="C29">
        <v>46.006599999999999</v>
      </c>
      <c r="D29">
        <v>48.134599999999999</v>
      </c>
      <c r="E29">
        <v>49.392899999999997</v>
      </c>
      <c r="F29">
        <v>25695.9014971</v>
      </c>
      <c r="G29">
        <v>22.6658368111</v>
      </c>
    </row>
    <row r="30" spans="1:7" x14ac:dyDescent="0.15">
      <c r="A30" t="s">
        <v>140</v>
      </c>
      <c r="B30">
        <v>3490.3240000000001</v>
      </c>
      <c r="C30">
        <v>43.097999999999999</v>
      </c>
      <c r="D30">
        <v>45.714700000000001</v>
      </c>
      <c r="E30">
        <v>46.792999999999999</v>
      </c>
      <c r="F30">
        <v>15872.537456</v>
      </c>
      <c r="G30">
        <v>17.328447818800001</v>
      </c>
    </row>
    <row r="31" spans="1:7" x14ac:dyDescent="0.15">
      <c r="A31" t="s">
        <v>141</v>
      </c>
      <c r="B31">
        <v>1966.204</v>
      </c>
      <c r="C31">
        <v>40.095599999999997</v>
      </c>
      <c r="D31">
        <v>43.906300000000002</v>
      </c>
      <c r="E31">
        <v>44.784700000000001</v>
      </c>
      <c r="F31">
        <v>10320.5588651</v>
      </c>
      <c r="G31">
        <v>14.727458953899999</v>
      </c>
    </row>
    <row r="32" spans="1:7" x14ac:dyDescent="0.15">
      <c r="A32" t="s">
        <v>142</v>
      </c>
      <c r="B32">
        <v>1076.7719999999999</v>
      </c>
      <c r="C32">
        <v>37.110300000000002</v>
      </c>
      <c r="D32">
        <v>42.651699999999998</v>
      </c>
      <c r="E32">
        <v>43.241900000000001</v>
      </c>
      <c r="F32">
        <v>5464.7236814500002</v>
      </c>
      <c r="G32">
        <v>12.804956913</v>
      </c>
    </row>
    <row r="33" spans="1:7" x14ac:dyDescent="0.15">
      <c r="A33" t="s">
        <v>143</v>
      </c>
      <c r="B33">
        <v>12588.0833</v>
      </c>
      <c r="C33">
        <v>41.113500000000002</v>
      </c>
      <c r="D33">
        <v>41.688000000000002</v>
      </c>
      <c r="E33">
        <v>44.309100000000001</v>
      </c>
      <c r="F33">
        <v>49112.591607800001</v>
      </c>
      <c r="G33">
        <v>22.522562980699998</v>
      </c>
    </row>
    <row r="34" spans="1:7" x14ac:dyDescent="0.15">
      <c r="A34" t="s">
        <v>144</v>
      </c>
      <c r="B34">
        <v>5499.7357000000002</v>
      </c>
      <c r="C34">
        <v>38.236899999999999</v>
      </c>
      <c r="D34">
        <v>39.571399999999997</v>
      </c>
      <c r="E34">
        <v>42.311500000000002</v>
      </c>
      <c r="F34">
        <v>29946.858771800002</v>
      </c>
      <c r="G34">
        <v>17.402921915099999</v>
      </c>
    </row>
    <row r="35" spans="1:7" x14ac:dyDescent="0.15">
      <c r="A35" t="s">
        <v>145</v>
      </c>
      <c r="B35">
        <v>2973.3746000000001</v>
      </c>
      <c r="C35">
        <v>36.089399999999998</v>
      </c>
      <c r="D35">
        <v>38.625300000000003</v>
      </c>
      <c r="E35">
        <v>40.730899999999998</v>
      </c>
      <c r="F35">
        <v>17223.125217199999</v>
      </c>
      <c r="G35">
        <v>15.588867902800001</v>
      </c>
    </row>
    <row r="36" spans="1:7" x14ac:dyDescent="0.15">
      <c r="A36" t="s">
        <v>146</v>
      </c>
      <c r="B36">
        <v>1603.7127</v>
      </c>
      <c r="C36">
        <v>33.707099999999997</v>
      </c>
      <c r="D36">
        <v>37.854300000000002</v>
      </c>
      <c r="E36">
        <v>39.521599999999999</v>
      </c>
      <c r="F36">
        <v>9602.8832640500004</v>
      </c>
      <c r="G36">
        <v>12.528939962400001</v>
      </c>
    </row>
    <row r="37" spans="1:7" x14ac:dyDescent="0.15">
      <c r="A37" t="s">
        <v>147</v>
      </c>
      <c r="B37">
        <v>7974.2951999999996</v>
      </c>
      <c r="C37">
        <v>41.4191</v>
      </c>
      <c r="D37">
        <v>44.644500000000001</v>
      </c>
      <c r="E37">
        <v>46.535899999999998</v>
      </c>
      <c r="F37">
        <v>39155.223195300001</v>
      </c>
      <c r="G37">
        <v>19.070324897799999</v>
      </c>
    </row>
    <row r="38" spans="1:7" x14ac:dyDescent="0.15">
      <c r="A38" t="s">
        <v>148</v>
      </c>
      <c r="B38">
        <v>3268.9666999999999</v>
      </c>
      <c r="C38">
        <v>39.005600000000001</v>
      </c>
      <c r="D38">
        <v>43.322400000000002</v>
      </c>
      <c r="E38">
        <v>44.512099999999997</v>
      </c>
      <c r="F38">
        <v>22713.379674899999</v>
      </c>
      <c r="G38">
        <v>14.9385919571</v>
      </c>
    </row>
    <row r="39" spans="1:7" x14ac:dyDescent="0.15">
      <c r="A39" t="s">
        <v>149</v>
      </c>
      <c r="B39">
        <v>1676.2881</v>
      </c>
      <c r="C39">
        <v>37.306100000000001</v>
      </c>
      <c r="D39">
        <v>42.137</v>
      </c>
      <c r="E39">
        <v>42.753900000000002</v>
      </c>
      <c r="F39">
        <v>11240.942799599999</v>
      </c>
      <c r="G39">
        <v>12.928756952300001</v>
      </c>
    </row>
    <row r="40" spans="1:7" x14ac:dyDescent="0.15">
      <c r="A40" t="s">
        <v>150</v>
      </c>
      <c r="B40">
        <v>934.63170000000002</v>
      </c>
      <c r="C40">
        <v>35.433599999999998</v>
      </c>
      <c r="D40">
        <v>41.123699999999999</v>
      </c>
      <c r="E40">
        <v>41.316299999999998</v>
      </c>
      <c r="F40">
        <v>5332.8672385199998</v>
      </c>
      <c r="G40">
        <v>11.011031150799999</v>
      </c>
    </row>
    <row r="41" spans="1:7" x14ac:dyDescent="0.15">
      <c r="A41" t="s">
        <v>151</v>
      </c>
      <c r="B41">
        <v>21305.598399999999</v>
      </c>
      <c r="C41">
        <v>42.406199999999998</v>
      </c>
      <c r="D41">
        <v>42.801900000000003</v>
      </c>
      <c r="E41">
        <v>44.631999999999998</v>
      </c>
      <c r="F41">
        <v>34420.473758200002</v>
      </c>
      <c r="G41">
        <v>29.099178075800001</v>
      </c>
    </row>
    <row r="42" spans="1:7" x14ac:dyDescent="0.15">
      <c r="A42" t="s">
        <v>152</v>
      </c>
      <c r="B42">
        <v>9139.6808000000001</v>
      </c>
      <c r="C42">
        <v>37.323999999999998</v>
      </c>
      <c r="D42">
        <v>41.021000000000001</v>
      </c>
      <c r="E42">
        <v>43.276499999999999</v>
      </c>
      <c r="F42">
        <v>38708.885942000001</v>
      </c>
      <c r="G42">
        <v>20.555022001299999</v>
      </c>
    </row>
    <row r="43" spans="1:7" x14ac:dyDescent="0.15">
      <c r="A43" t="s">
        <v>153</v>
      </c>
      <c r="B43">
        <v>4590.5807999999997</v>
      </c>
      <c r="C43">
        <v>34.846600000000002</v>
      </c>
      <c r="D43">
        <v>39.712000000000003</v>
      </c>
      <c r="E43">
        <v>42.260300000000001</v>
      </c>
      <c r="F43">
        <v>24910.800087200001</v>
      </c>
      <c r="G43">
        <v>16.569571018200001</v>
      </c>
    </row>
    <row r="44" spans="1:7" x14ac:dyDescent="0.15">
      <c r="A44" t="s">
        <v>154</v>
      </c>
      <c r="B44">
        <v>2445.904</v>
      </c>
      <c r="C44">
        <v>32.494100000000003</v>
      </c>
      <c r="D44">
        <v>38.7821</v>
      </c>
      <c r="E44">
        <v>41.500999999999998</v>
      </c>
      <c r="F44">
        <v>14606.2476857</v>
      </c>
      <c r="G44">
        <v>14.134889125799999</v>
      </c>
    </row>
    <row r="45" spans="1:7" x14ac:dyDescent="0.15">
      <c r="A45" t="s">
        <v>155</v>
      </c>
      <c r="B45">
        <v>2316.8737999999998</v>
      </c>
      <c r="C45">
        <v>42.359200000000001</v>
      </c>
      <c r="D45">
        <v>43.948399999999999</v>
      </c>
      <c r="E45">
        <v>44.741300000000003</v>
      </c>
      <c r="F45">
        <v>7084.6162846099996</v>
      </c>
      <c r="G45">
        <v>5.06887602806</v>
      </c>
    </row>
    <row r="46" spans="1:7" x14ac:dyDescent="0.15">
      <c r="A46" t="s">
        <v>156</v>
      </c>
      <c r="B46">
        <v>1241.2103</v>
      </c>
      <c r="C46">
        <v>38.942700000000002</v>
      </c>
      <c r="D46">
        <v>41.441000000000003</v>
      </c>
      <c r="E46">
        <v>41.986600000000003</v>
      </c>
      <c r="F46">
        <v>5419.8918347400004</v>
      </c>
      <c r="G46">
        <v>4.0295519828800002</v>
      </c>
    </row>
    <row r="47" spans="1:7" x14ac:dyDescent="0.15">
      <c r="A47" t="s">
        <v>157</v>
      </c>
      <c r="B47">
        <v>669.0095</v>
      </c>
      <c r="C47">
        <v>35.973399999999998</v>
      </c>
      <c r="D47">
        <v>39.651800000000001</v>
      </c>
      <c r="E47">
        <v>40.024999999999999</v>
      </c>
      <c r="F47">
        <v>3628.75615573</v>
      </c>
      <c r="G47">
        <v>3.1753890514399998</v>
      </c>
    </row>
    <row r="48" spans="1:7" x14ac:dyDescent="0.15">
      <c r="A48" t="s">
        <v>158</v>
      </c>
      <c r="B48">
        <v>369.6198</v>
      </c>
      <c r="C48">
        <v>33.2712</v>
      </c>
      <c r="D48">
        <v>38.215299999999999</v>
      </c>
      <c r="E48">
        <v>38.322499999999998</v>
      </c>
      <c r="F48">
        <v>2053.59883046</v>
      </c>
      <c r="G48">
        <v>2.52467012405</v>
      </c>
    </row>
    <row r="49" spans="1:7" x14ac:dyDescent="0.15">
      <c r="A49" t="s">
        <v>159</v>
      </c>
      <c r="B49">
        <v>2630.2112000000002</v>
      </c>
      <c r="C49">
        <v>42.290999999999997</v>
      </c>
      <c r="D49">
        <v>44.293999999999997</v>
      </c>
      <c r="E49">
        <v>45.967100000000002</v>
      </c>
      <c r="F49">
        <v>9424.0513989800002</v>
      </c>
      <c r="G49">
        <v>5.0555698871599999</v>
      </c>
    </row>
    <row r="50" spans="1:7" x14ac:dyDescent="0.15">
      <c r="A50" t="s">
        <v>160</v>
      </c>
      <c r="B50">
        <v>1577.0784000000001</v>
      </c>
      <c r="C50">
        <v>39.468899999999998</v>
      </c>
      <c r="D50">
        <v>42.135899999999999</v>
      </c>
      <c r="E50">
        <v>43.528700000000001</v>
      </c>
      <c r="F50">
        <v>6400.5649449800003</v>
      </c>
      <c r="G50">
        <v>4.3998999595599999</v>
      </c>
    </row>
    <row r="51" spans="1:7" x14ac:dyDescent="0.15">
      <c r="A51" t="s">
        <v>161</v>
      </c>
      <c r="B51">
        <v>928.11680000000001</v>
      </c>
      <c r="C51">
        <v>36.467100000000002</v>
      </c>
      <c r="D51">
        <v>40.459099999999999</v>
      </c>
      <c r="E51">
        <v>41.619199999999999</v>
      </c>
      <c r="F51">
        <v>4667.6041634100002</v>
      </c>
      <c r="G51">
        <v>3.5774970054600002</v>
      </c>
    </row>
    <row r="52" spans="1:7" x14ac:dyDescent="0.15">
      <c r="A52" t="s">
        <v>162</v>
      </c>
      <c r="B52">
        <v>527.50319999999999</v>
      </c>
      <c r="C52">
        <v>33.393999999999998</v>
      </c>
      <c r="D52">
        <v>39.142600000000002</v>
      </c>
      <c r="E52">
        <v>40.116100000000003</v>
      </c>
      <c r="F52">
        <v>3055.3843696099998</v>
      </c>
      <c r="G52">
        <v>3.06776118279</v>
      </c>
    </row>
    <row r="53" spans="1:7" x14ac:dyDescent="0.15">
      <c r="A53" t="s">
        <v>163</v>
      </c>
      <c r="B53">
        <v>5092.2960000000003</v>
      </c>
      <c r="C53">
        <v>41.438400000000001</v>
      </c>
      <c r="D53">
        <v>42.645400000000002</v>
      </c>
      <c r="E53">
        <v>43.719099999999997</v>
      </c>
      <c r="F53">
        <v>9706.0122122600005</v>
      </c>
      <c r="G53">
        <v>6.7041659355199998</v>
      </c>
    </row>
    <row r="54" spans="1:7" x14ac:dyDescent="0.15">
      <c r="A54" t="s">
        <v>164</v>
      </c>
      <c r="B54">
        <v>3155.1547999999998</v>
      </c>
      <c r="C54">
        <v>37.1999</v>
      </c>
      <c r="D54">
        <v>39.716900000000003</v>
      </c>
      <c r="E54">
        <v>40.600099999999998</v>
      </c>
      <c r="F54">
        <v>8100.7671785499997</v>
      </c>
      <c r="G54">
        <v>5.2453169822700003</v>
      </c>
    </row>
    <row r="55" spans="1:7" x14ac:dyDescent="0.15">
      <c r="A55" t="s">
        <v>165</v>
      </c>
      <c r="B55">
        <v>1886.6738</v>
      </c>
      <c r="C55">
        <v>33.443100000000001</v>
      </c>
      <c r="D55">
        <v>37.769799999999996</v>
      </c>
      <c r="E55">
        <v>38.485799999999998</v>
      </c>
      <c r="F55">
        <v>6547.1500570799999</v>
      </c>
      <c r="G55">
        <v>4.1556940078700002</v>
      </c>
    </row>
    <row r="56" spans="1:7" x14ac:dyDescent="0.15">
      <c r="A56" t="s">
        <v>166</v>
      </c>
      <c r="B56">
        <v>1013.3595</v>
      </c>
      <c r="C56">
        <v>29.7606</v>
      </c>
      <c r="D56">
        <v>36.356200000000001</v>
      </c>
      <c r="E56">
        <v>36.970599999999997</v>
      </c>
      <c r="F56">
        <v>5037.09635162</v>
      </c>
      <c r="G56">
        <v>3.3781070709200001</v>
      </c>
    </row>
    <row r="57" spans="1:7" x14ac:dyDescent="0.15">
      <c r="A57" t="s">
        <v>167</v>
      </c>
      <c r="B57">
        <v>1736.0645</v>
      </c>
      <c r="C57">
        <v>42.747</v>
      </c>
      <c r="D57">
        <v>43.529200000000003</v>
      </c>
      <c r="E57">
        <v>44.380400000000002</v>
      </c>
      <c r="F57">
        <v>4899.9271898200004</v>
      </c>
      <c r="G57">
        <v>2.9011118412000001</v>
      </c>
    </row>
    <row r="58" spans="1:7" x14ac:dyDescent="0.15">
      <c r="A58" t="s">
        <v>168</v>
      </c>
      <c r="B58">
        <v>1040.58</v>
      </c>
      <c r="C58">
        <v>39.366700000000002</v>
      </c>
      <c r="D58">
        <v>40.265300000000003</v>
      </c>
      <c r="E58">
        <v>41.729300000000002</v>
      </c>
      <c r="F58">
        <v>3503.4077630000002</v>
      </c>
      <c r="G58">
        <v>2.5183432102199999</v>
      </c>
    </row>
    <row r="59" spans="1:7" x14ac:dyDescent="0.15">
      <c r="A59" t="s">
        <v>169</v>
      </c>
      <c r="B59">
        <v>599.73320000000001</v>
      </c>
      <c r="C59">
        <v>36.003500000000003</v>
      </c>
      <c r="D59">
        <v>38.0304</v>
      </c>
      <c r="E59">
        <v>39.990299999999998</v>
      </c>
      <c r="F59">
        <v>2612.5734179000001</v>
      </c>
      <c r="G59">
        <v>2.1574521064800001</v>
      </c>
    </row>
    <row r="60" spans="1:7" x14ac:dyDescent="0.15">
      <c r="A60" t="s">
        <v>170</v>
      </c>
      <c r="B60">
        <v>305.26339999999999</v>
      </c>
      <c r="C60">
        <v>32.571300000000001</v>
      </c>
      <c r="D60">
        <v>36.7194</v>
      </c>
      <c r="E60">
        <v>38.6723</v>
      </c>
      <c r="F60">
        <v>1715.02493501</v>
      </c>
      <c r="G60">
        <v>1.64096093178</v>
      </c>
    </row>
    <row r="61" spans="1:7" x14ac:dyDescent="0.15">
      <c r="A61" t="s">
        <v>171</v>
      </c>
      <c r="B61">
        <v>597.0421</v>
      </c>
      <c r="C61">
        <v>43.532400000000003</v>
      </c>
      <c r="D61">
        <v>45.487900000000003</v>
      </c>
      <c r="E61">
        <v>45.2821</v>
      </c>
      <c r="F61">
        <v>1898.46276498</v>
      </c>
      <c r="G61">
        <v>1.15492510796</v>
      </c>
    </row>
    <row r="62" spans="1:7" x14ac:dyDescent="0.15">
      <c r="A62" t="s">
        <v>172</v>
      </c>
      <c r="B62">
        <v>358.1841</v>
      </c>
      <c r="C62">
        <v>39.921999999999997</v>
      </c>
      <c r="D62">
        <v>42.6402</v>
      </c>
      <c r="E62">
        <v>42.088500000000003</v>
      </c>
      <c r="F62">
        <v>1440.2523019299999</v>
      </c>
      <c r="G62">
        <v>0.96691608428999998</v>
      </c>
    </row>
    <row r="63" spans="1:7" x14ac:dyDescent="0.15">
      <c r="A63" t="s">
        <v>173</v>
      </c>
      <c r="B63">
        <v>207.20949999999999</v>
      </c>
      <c r="C63">
        <v>36.521000000000001</v>
      </c>
      <c r="D63">
        <v>40.466999999999999</v>
      </c>
      <c r="E63">
        <v>39.694099999999999</v>
      </c>
      <c r="F63">
        <v>1042.6075518099999</v>
      </c>
      <c r="G63">
        <v>0.81166696548499995</v>
      </c>
    </row>
    <row r="64" spans="1:7" x14ac:dyDescent="0.15">
      <c r="A64" t="s">
        <v>174</v>
      </c>
      <c r="B64">
        <v>115.7032</v>
      </c>
      <c r="C64">
        <v>33.313099999999999</v>
      </c>
      <c r="D64">
        <v>38.795299999999997</v>
      </c>
      <c r="E64">
        <v>37.8187</v>
      </c>
      <c r="F64">
        <v>653.510368825</v>
      </c>
      <c r="G64">
        <v>0.69231486320500002</v>
      </c>
    </row>
    <row r="65" spans="1:7" x14ac:dyDescent="0.15">
      <c r="A65" t="s">
        <v>175</v>
      </c>
      <c r="B65">
        <v>1543.3520000000001</v>
      </c>
      <c r="C65">
        <v>41.592300000000002</v>
      </c>
      <c r="D65">
        <v>43.443300000000001</v>
      </c>
      <c r="E65">
        <v>44.579700000000003</v>
      </c>
      <c r="F65">
        <v>2754.9782569399999</v>
      </c>
      <c r="G65">
        <v>1.8539378643</v>
      </c>
    </row>
    <row r="66" spans="1:7" x14ac:dyDescent="0.15">
      <c r="A66" t="s">
        <v>176</v>
      </c>
      <c r="B66">
        <v>988.78480000000002</v>
      </c>
      <c r="C66">
        <v>37.223500000000001</v>
      </c>
      <c r="D66">
        <v>40.7545</v>
      </c>
      <c r="E66">
        <v>42.023400000000002</v>
      </c>
      <c r="F66">
        <v>2230.4274520899999</v>
      </c>
      <c r="G66">
        <v>1.4347019195599999</v>
      </c>
    </row>
    <row r="67" spans="1:7" x14ac:dyDescent="0.15">
      <c r="A67" t="s">
        <v>177</v>
      </c>
      <c r="B67">
        <v>610.12239999999997</v>
      </c>
      <c r="C67">
        <v>33.4131</v>
      </c>
      <c r="D67">
        <v>39.284999999999997</v>
      </c>
      <c r="E67">
        <v>40.379199999999997</v>
      </c>
      <c r="F67">
        <v>1695.5129997700001</v>
      </c>
      <c r="G67">
        <v>1.1489820480299999</v>
      </c>
    </row>
    <row r="68" spans="1:7" x14ac:dyDescent="0.15">
      <c r="A68" t="s">
        <v>178</v>
      </c>
      <c r="B68">
        <v>360.49200000000002</v>
      </c>
      <c r="C68">
        <v>29.851099999999999</v>
      </c>
      <c r="D68">
        <v>38.342100000000002</v>
      </c>
      <c r="E68">
        <v>39.190100000000001</v>
      </c>
      <c r="F68">
        <v>1266.65640807</v>
      </c>
      <c r="G68">
        <v>0.95793509483299999</v>
      </c>
    </row>
    <row r="69" spans="1:7" x14ac:dyDescent="0.15">
      <c r="A69" t="s">
        <v>179</v>
      </c>
      <c r="B69">
        <v>1333.0333000000001</v>
      </c>
      <c r="C69">
        <v>41.415300000000002</v>
      </c>
      <c r="D69">
        <v>42.220999999999997</v>
      </c>
      <c r="E69">
        <v>43.058900000000001</v>
      </c>
      <c r="F69">
        <v>2585.0314540899999</v>
      </c>
      <c r="G69">
        <v>1.73241281509</v>
      </c>
    </row>
    <row r="70" spans="1:7" x14ac:dyDescent="0.15">
      <c r="A70" t="s">
        <v>180</v>
      </c>
      <c r="B70">
        <v>826.31190000000004</v>
      </c>
      <c r="C70">
        <v>37.1342</v>
      </c>
      <c r="D70">
        <v>39.284999999999997</v>
      </c>
      <c r="E70">
        <v>39.874299999999998</v>
      </c>
      <c r="F70">
        <v>2156.1936082799998</v>
      </c>
      <c r="G70">
        <v>1.3823339939099999</v>
      </c>
    </row>
    <row r="71" spans="1:7" x14ac:dyDescent="0.15">
      <c r="A71" t="s">
        <v>181</v>
      </c>
      <c r="B71">
        <v>472.3476</v>
      </c>
      <c r="C71">
        <v>33.1798</v>
      </c>
      <c r="D71">
        <v>37.200099999999999</v>
      </c>
      <c r="E71">
        <v>37.620100000000001</v>
      </c>
      <c r="F71">
        <v>1791.1011819800001</v>
      </c>
      <c r="G71">
        <v>1.1101610660600001</v>
      </c>
    </row>
    <row r="72" spans="1:7" x14ac:dyDescent="0.15">
      <c r="A72" t="s">
        <v>182</v>
      </c>
      <c r="B72">
        <v>240.82060000000001</v>
      </c>
      <c r="C72">
        <v>29.5791</v>
      </c>
      <c r="D72">
        <v>35.696199999999997</v>
      </c>
      <c r="E72">
        <v>36.072600000000001</v>
      </c>
      <c r="F72">
        <v>1339.56490302</v>
      </c>
      <c r="G72">
        <v>0.84336209297200004</v>
      </c>
    </row>
    <row r="73" spans="1:7" x14ac:dyDescent="0.15">
      <c r="A73" t="s">
        <v>183</v>
      </c>
      <c r="B73">
        <v>513.72159999999997</v>
      </c>
      <c r="C73">
        <v>43.082999999999998</v>
      </c>
      <c r="D73">
        <v>43.105499999999999</v>
      </c>
      <c r="E73">
        <v>44.0351</v>
      </c>
      <c r="F73">
        <v>1295.5076186700001</v>
      </c>
      <c r="G73">
        <v>0.82528591155999997</v>
      </c>
    </row>
    <row r="74" spans="1:7" x14ac:dyDescent="0.15">
      <c r="A74" t="s">
        <v>184</v>
      </c>
      <c r="B74">
        <v>312.50369999999998</v>
      </c>
      <c r="C74">
        <v>39.049300000000002</v>
      </c>
      <c r="D74">
        <v>39.849499999999999</v>
      </c>
      <c r="E74">
        <v>41.207999999999998</v>
      </c>
      <c r="F74">
        <v>1026.48760986</v>
      </c>
      <c r="G74">
        <v>0.67373895645100002</v>
      </c>
    </row>
    <row r="75" spans="1:7" x14ac:dyDescent="0.15">
      <c r="A75" t="s">
        <v>185</v>
      </c>
      <c r="B75">
        <v>174.02449999999999</v>
      </c>
      <c r="C75">
        <v>35.153100000000002</v>
      </c>
      <c r="D75">
        <v>37.822099999999999</v>
      </c>
      <c r="E75">
        <v>39.067300000000003</v>
      </c>
      <c r="F75">
        <v>796.720495701</v>
      </c>
      <c r="G75">
        <v>0.55454397201500005</v>
      </c>
    </row>
    <row r="76" spans="1:7" x14ac:dyDescent="0.15">
      <c r="A76" t="s">
        <v>186</v>
      </c>
      <c r="B76">
        <v>86.549199999999999</v>
      </c>
      <c r="C76">
        <v>31.675599999999999</v>
      </c>
      <c r="D76">
        <v>36.298200000000001</v>
      </c>
      <c r="E76">
        <v>37.353900000000003</v>
      </c>
      <c r="F76">
        <v>519.39434504500002</v>
      </c>
      <c r="G76">
        <v>0.48898601532000002</v>
      </c>
    </row>
    <row r="77" spans="1:7" x14ac:dyDescent="0.15">
      <c r="A77" t="s">
        <v>187</v>
      </c>
      <c r="B77">
        <v>3349.1968000000002</v>
      </c>
      <c r="C77">
        <v>44.329000000000001</v>
      </c>
      <c r="D77">
        <v>47.317599999999999</v>
      </c>
      <c r="E77">
        <v>48.519300000000001</v>
      </c>
      <c r="F77">
        <v>14127.265073799999</v>
      </c>
      <c r="G77">
        <v>9.4044289588899996</v>
      </c>
    </row>
    <row r="78" spans="1:7" x14ac:dyDescent="0.15">
      <c r="A78" t="s">
        <v>188</v>
      </c>
      <c r="B78">
        <v>2057.1664000000001</v>
      </c>
      <c r="C78">
        <v>41.846400000000003</v>
      </c>
      <c r="D78">
        <v>45.1584</v>
      </c>
      <c r="E78">
        <v>46.421799999999998</v>
      </c>
      <c r="F78">
        <v>9039.6513311800009</v>
      </c>
      <c r="G78">
        <v>7.7371881008100001</v>
      </c>
    </row>
    <row r="79" spans="1:7" x14ac:dyDescent="0.15">
      <c r="A79" t="s">
        <v>189</v>
      </c>
      <c r="B79">
        <v>1271.7360000000001</v>
      </c>
      <c r="C79">
        <v>39.0291</v>
      </c>
      <c r="D79">
        <v>43.435699999999997</v>
      </c>
      <c r="E79">
        <v>44.607900000000001</v>
      </c>
      <c r="F79">
        <v>6428.6598007700004</v>
      </c>
      <c r="G79">
        <v>7.42469596863</v>
      </c>
    </row>
    <row r="80" spans="1:7" x14ac:dyDescent="0.15">
      <c r="A80" t="s">
        <v>190</v>
      </c>
      <c r="B80">
        <v>768.90160000000003</v>
      </c>
      <c r="C80">
        <v>35.875500000000002</v>
      </c>
      <c r="D80">
        <v>42.090699999999998</v>
      </c>
      <c r="E80">
        <v>43.216799999999999</v>
      </c>
      <c r="F80">
        <v>4167.0864179099999</v>
      </c>
      <c r="G80">
        <v>5.8250961303700004</v>
      </c>
    </row>
    <row r="81" spans="1:7" x14ac:dyDescent="0.15">
      <c r="A81" t="s">
        <v>191</v>
      </c>
      <c r="B81">
        <v>2258.348</v>
      </c>
      <c r="C81">
        <v>44.493200000000002</v>
      </c>
      <c r="D81">
        <v>48.593800000000002</v>
      </c>
      <c r="E81">
        <v>49.2958</v>
      </c>
      <c r="F81">
        <v>10261.652662799999</v>
      </c>
      <c r="G81">
        <v>7.1879370212599998</v>
      </c>
    </row>
    <row r="82" spans="1:7" x14ac:dyDescent="0.15">
      <c r="A82" t="s">
        <v>192</v>
      </c>
      <c r="B82">
        <v>1256.5352</v>
      </c>
      <c r="C82">
        <v>42.378</v>
      </c>
      <c r="D82">
        <v>46.699300000000001</v>
      </c>
      <c r="E82">
        <v>47.481099999999998</v>
      </c>
      <c r="F82">
        <v>6195.9468319400003</v>
      </c>
      <c r="G82">
        <v>6.6174738407099998</v>
      </c>
    </row>
    <row r="83" spans="1:7" x14ac:dyDescent="0.15">
      <c r="A83" t="s">
        <v>193</v>
      </c>
      <c r="B83">
        <v>715.9864</v>
      </c>
      <c r="C83">
        <v>40.086300000000001</v>
      </c>
      <c r="D83">
        <v>45.019799999999996</v>
      </c>
      <c r="E83">
        <v>45.735599999999998</v>
      </c>
      <c r="F83">
        <v>4104.95289159</v>
      </c>
      <c r="G83">
        <v>5.5858530998199996</v>
      </c>
    </row>
    <row r="84" spans="1:7" x14ac:dyDescent="0.15">
      <c r="A84" t="s">
        <v>194</v>
      </c>
      <c r="B84">
        <v>411.78</v>
      </c>
      <c r="C84">
        <v>37.51</v>
      </c>
      <c r="D84">
        <v>43.570999999999998</v>
      </c>
      <c r="E84">
        <v>44.326700000000002</v>
      </c>
      <c r="F84">
        <v>2326.8528859600001</v>
      </c>
      <c r="G84">
        <v>4.9097468852999997</v>
      </c>
    </row>
    <row r="85" spans="1:7" x14ac:dyDescent="0.15">
      <c r="A85" t="s">
        <v>195</v>
      </c>
      <c r="B85">
        <v>2470.8872000000001</v>
      </c>
      <c r="C85">
        <v>44.883299999999998</v>
      </c>
      <c r="D85">
        <v>47.971499999999999</v>
      </c>
      <c r="E85">
        <v>48.888599999999997</v>
      </c>
      <c r="F85">
        <v>10710.555826</v>
      </c>
      <c r="G85">
        <v>8.2698891162900008</v>
      </c>
    </row>
    <row r="86" spans="1:7" x14ac:dyDescent="0.15">
      <c r="A86" t="s">
        <v>196</v>
      </c>
      <c r="B86">
        <v>1484.9128000000001</v>
      </c>
      <c r="C86">
        <v>42.658799999999999</v>
      </c>
      <c r="D86">
        <v>45.876300000000001</v>
      </c>
      <c r="E86">
        <v>46.953400000000002</v>
      </c>
      <c r="F86">
        <v>6369.2578699599999</v>
      </c>
      <c r="G86">
        <v>6.9448719024700001</v>
      </c>
    </row>
    <row r="87" spans="1:7" x14ac:dyDescent="0.15">
      <c r="A87" t="s">
        <v>197</v>
      </c>
      <c r="B87">
        <v>900.11120000000005</v>
      </c>
      <c r="C87">
        <v>40.0961</v>
      </c>
      <c r="D87">
        <v>44.151000000000003</v>
      </c>
      <c r="E87">
        <v>45.242100000000001</v>
      </c>
      <c r="F87">
        <v>4336.0935237399999</v>
      </c>
      <c r="G87">
        <v>6.0750069618199998</v>
      </c>
    </row>
    <row r="88" spans="1:7" x14ac:dyDescent="0.15">
      <c r="A88" t="s">
        <v>198</v>
      </c>
      <c r="B88">
        <v>545.24879999999996</v>
      </c>
      <c r="C88">
        <v>37.249400000000001</v>
      </c>
      <c r="D88">
        <v>42.816699999999997</v>
      </c>
      <c r="E88">
        <v>43.885899999999999</v>
      </c>
      <c r="F88">
        <v>2732.8645613200001</v>
      </c>
      <c r="G88">
        <v>5.5787780284900004</v>
      </c>
    </row>
    <row r="89" spans="1:7" x14ac:dyDescent="0.15">
      <c r="A89" t="s">
        <v>199</v>
      </c>
      <c r="B89">
        <v>2506.5848999999998</v>
      </c>
      <c r="C89">
        <v>42.5383</v>
      </c>
      <c r="D89">
        <v>43.904299999999999</v>
      </c>
      <c r="E89">
        <v>44.639099999999999</v>
      </c>
      <c r="F89">
        <v>6897.2317116200002</v>
      </c>
      <c r="G89">
        <v>5.1693079471600001</v>
      </c>
    </row>
    <row r="90" spans="1:7" x14ac:dyDescent="0.15">
      <c r="A90" t="s">
        <v>200</v>
      </c>
      <c r="B90">
        <v>1424.3753999999999</v>
      </c>
      <c r="C90">
        <v>39.049900000000001</v>
      </c>
      <c r="D90">
        <v>41.103499999999997</v>
      </c>
      <c r="E90">
        <v>41.618299999999998</v>
      </c>
      <c r="F90">
        <v>5370.0321559900003</v>
      </c>
      <c r="G90">
        <v>4.1561260223399996</v>
      </c>
    </row>
    <row r="91" spans="1:7" x14ac:dyDescent="0.15">
      <c r="A91" t="s">
        <v>201</v>
      </c>
      <c r="B91">
        <v>823.10950000000003</v>
      </c>
      <c r="C91">
        <v>35.975099999999998</v>
      </c>
      <c r="D91">
        <v>39.0306</v>
      </c>
      <c r="E91">
        <v>39.400100000000002</v>
      </c>
      <c r="F91">
        <v>3797.6918776000002</v>
      </c>
      <c r="G91">
        <v>3.11094689369</v>
      </c>
    </row>
    <row r="92" spans="1:7" x14ac:dyDescent="0.15">
      <c r="A92" t="s">
        <v>202</v>
      </c>
      <c r="B92">
        <v>482.38330000000002</v>
      </c>
      <c r="C92">
        <v>33.044800000000002</v>
      </c>
      <c r="D92">
        <v>37.453099999999999</v>
      </c>
      <c r="E92">
        <v>37.612400000000001</v>
      </c>
      <c r="F92">
        <v>2375.9664392499999</v>
      </c>
      <c r="G92">
        <v>2.5947120189700001</v>
      </c>
    </row>
    <row r="93" spans="1:7" x14ac:dyDescent="0.15">
      <c r="A93" t="s">
        <v>203</v>
      </c>
      <c r="B93">
        <v>11682.263999999999</v>
      </c>
      <c r="C93">
        <v>44.211199999999998</v>
      </c>
      <c r="D93">
        <v>45.18</v>
      </c>
      <c r="E93">
        <v>45.791800000000002</v>
      </c>
      <c r="F93">
        <v>36343.385431299997</v>
      </c>
      <c r="G93">
        <v>28.296892166100001</v>
      </c>
    </row>
    <row r="94" spans="1:7" x14ac:dyDescent="0.15">
      <c r="A94" t="s">
        <v>204</v>
      </c>
      <c r="B94">
        <v>6825.6751999999997</v>
      </c>
      <c r="C94">
        <v>40.688800000000001</v>
      </c>
      <c r="D94">
        <v>42.344099999999997</v>
      </c>
      <c r="E94">
        <v>42.747700000000002</v>
      </c>
      <c r="F94">
        <v>26372.358121099998</v>
      </c>
      <c r="G94">
        <v>22.880189895600001</v>
      </c>
    </row>
    <row r="95" spans="1:7" x14ac:dyDescent="0.15">
      <c r="A95" t="s">
        <v>205</v>
      </c>
      <c r="B95">
        <v>3918.9047999999998</v>
      </c>
      <c r="C95">
        <v>37.4298</v>
      </c>
      <c r="D95">
        <v>40.1768</v>
      </c>
      <c r="E95">
        <v>40.387799999999999</v>
      </c>
      <c r="F95">
        <v>18893.626625100002</v>
      </c>
      <c r="G95">
        <v>19.217947959899998</v>
      </c>
    </row>
    <row r="96" spans="1:7" x14ac:dyDescent="0.15">
      <c r="A96" t="s">
        <v>206</v>
      </c>
      <c r="B96">
        <v>2221.7536</v>
      </c>
      <c r="C96">
        <v>34.345300000000002</v>
      </c>
      <c r="D96">
        <v>38.475200000000001</v>
      </c>
      <c r="E96">
        <v>38.572800000000001</v>
      </c>
      <c r="F96">
        <v>11533.756294500001</v>
      </c>
      <c r="G96">
        <v>16.7599041462</v>
      </c>
    </row>
    <row r="97" spans="1:7" x14ac:dyDescent="0.15">
      <c r="A97" t="s">
        <v>207</v>
      </c>
      <c r="B97">
        <v>3689.5421000000001</v>
      </c>
      <c r="C97">
        <v>47.0092</v>
      </c>
      <c r="D97">
        <v>45.180900000000001</v>
      </c>
      <c r="E97">
        <v>45.688600000000001</v>
      </c>
      <c r="F97">
        <v>5620.4420199400001</v>
      </c>
      <c r="G97">
        <v>6.4625449180599999</v>
      </c>
    </row>
    <row r="98" spans="1:7" x14ac:dyDescent="0.15">
      <c r="A98" t="s">
        <v>208</v>
      </c>
      <c r="B98">
        <v>2800.5916000000002</v>
      </c>
      <c r="C98">
        <v>42.537500000000001</v>
      </c>
      <c r="D98">
        <v>41.215200000000003</v>
      </c>
      <c r="E98">
        <v>42.174500000000002</v>
      </c>
      <c r="F98">
        <v>4852.2019531699998</v>
      </c>
      <c r="G98">
        <v>5.3690938949599998</v>
      </c>
    </row>
    <row r="99" spans="1:7" x14ac:dyDescent="0.15">
      <c r="A99" t="s">
        <v>209</v>
      </c>
      <c r="B99">
        <v>2191.5252999999998</v>
      </c>
      <c r="C99">
        <v>37.972299999999997</v>
      </c>
      <c r="D99">
        <v>39.198300000000003</v>
      </c>
      <c r="E99">
        <v>40.408700000000003</v>
      </c>
      <c r="F99">
        <v>4251.9768309700003</v>
      </c>
      <c r="G99">
        <v>4.9657869338999996</v>
      </c>
    </row>
    <row r="100" spans="1:7" x14ac:dyDescent="0.15">
      <c r="A100" t="s">
        <v>210</v>
      </c>
      <c r="B100">
        <v>1609.2954999999999</v>
      </c>
      <c r="C100">
        <v>33.087299999999999</v>
      </c>
      <c r="D100">
        <v>38.269399999999997</v>
      </c>
      <c r="E100">
        <v>39.388500000000001</v>
      </c>
      <c r="F100">
        <v>3652.3986177400002</v>
      </c>
      <c r="G100">
        <v>4.5041329860700001</v>
      </c>
    </row>
    <row r="101" spans="1:7" x14ac:dyDescent="0.15">
      <c r="A101" t="s">
        <v>211</v>
      </c>
      <c r="B101">
        <v>592.01210000000003</v>
      </c>
      <c r="C101">
        <v>51.092100000000002</v>
      </c>
      <c r="D101">
        <v>54.044400000000003</v>
      </c>
      <c r="E101">
        <v>54.945599999999999</v>
      </c>
      <c r="F101">
        <v>3983.83074618</v>
      </c>
      <c r="G101">
        <v>4.8343610763499996</v>
      </c>
    </row>
    <row r="102" spans="1:7" x14ac:dyDescent="0.15">
      <c r="A102" t="s">
        <v>212</v>
      </c>
      <c r="B102">
        <v>401.887</v>
      </c>
      <c r="C102">
        <v>47.435499999999998</v>
      </c>
      <c r="D102">
        <v>50.684899999999999</v>
      </c>
      <c r="E102">
        <v>51.797699999999999</v>
      </c>
      <c r="F102">
        <v>2962.7882721400001</v>
      </c>
      <c r="G102">
        <v>4.2197470665000001</v>
      </c>
    </row>
    <row r="103" spans="1:7" x14ac:dyDescent="0.15">
      <c r="A103" t="s">
        <v>213</v>
      </c>
      <c r="B103">
        <v>276.12</v>
      </c>
      <c r="C103">
        <v>43.805900000000001</v>
      </c>
      <c r="D103">
        <v>48.317300000000003</v>
      </c>
      <c r="E103">
        <v>49.739899999999999</v>
      </c>
      <c r="F103">
        <v>2394.8448827299999</v>
      </c>
      <c r="G103">
        <v>4.1674180030799999</v>
      </c>
    </row>
    <row r="104" spans="1:7" x14ac:dyDescent="0.15">
      <c r="A104" t="s">
        <v>214</v>
      </c>
      <c r="B104">
        <v>184.19810000000001</v>
      </c>
      <c r="C104">
        <v>39.963999999999999</v>
      </c>
      <c r="D104">
        <v>46.423200000000001</v>
      </c>
      <c r="E104">
        <v>48.171700000000001</v>
      </c>
      <c r="F104">
        <v>1873.7746288799999</v>
      </c>
      <c r="G104">
        <v>3.4915630817399999</v>
      </c>
    </row>
    <row r="105" spans="1:7" x14ac:dyDescent="0.15">
      <c r="A105" t="s">
        <v>215</v>
      </c>
      <c r="B105">
        <v>28286.984499999999</v>
      </c>
      <c r="C105">
        <v>40.324800000000003</v>
      </c>
      <c r="D105">
        <v>49.102800000000002</v>
      </c>
      <c r="E105">
        <v>47.4193</v>
      </c>
      <c r="F105">
        <v>430771.663245</v>
      </c>
      <c r="G105">
        <v>160.741630077</v>
      </c>
    </row>
    <row r="106" spans="1:7" x14ac:dyDescent="0.15">
      <c r="A106" t="s">
        <v>216</v>
      </c>
      <c r="B106">
        <v>7651.1575999999995</v>
      </c>
      <c r="C106">
        <v>39.573700000000002</v>
      </c>
      <c r="D106">
        <v>48.326999999999998</v>
      </c>
      <c r="E106">
        <v>46.198300000000003</v>
      </c>
      <c r="F106">
        <v>192907.54790100001</v>
      </c>
      <c r="G106">
        <v>112.33735919</v>
      </c>
    </row>
    <row r="107" spans="1:7" x14ac:dyDescent="0.15">
      <c r="A107" t="s">
        <v>217</v>
      </c>
      <c r="B107">
        <v>3803.8595999999998</v>
      </c>
      <c r="C107">
        <v>38.631100000000004</v>
      </c>
      <c r="D107">
        <v>47.5105</v>
      </c>
      <c r="E107">
        <v>44.991700000000002</v>
      </c>
      <c r="F107">
        <v>120796.39418</v>
      </c>
      <c r="G107">
        <v>101.05357885399999</v>
      </c>
    </row>
    <row r="108" spans="1:7" x14ac:dyDescent="0.15">
      <c r="A108" t="s">
        <v>218</v>
      </c>
      <c r="B108">
        <v>2087.2440999999999</v>
      </c>
      <c r="C108">
        <v>37.2087</v>
      </c>
      <c r="D108">
        <v>46.628599999999999</v>
      </c>
      <c r="E108">
        <v>43.691099999999999</v>
      </c>
      <c r="F108">
        <v>75471.875715100003</v>
      </c>
      <c r="G108">
        <v>87.042045831699994</v>
      </c>
    </row>
    <row r="109" spans="1:7" x14ac:dyDescent="0.15">
      <c r="A109" t="s">
        <v>219</v>
      </c>
      <c r="B109">
        <v>17685.0864</v>
      </c>
      <c r="C109">
        <v>44.164400000000001</v>
      </c>
      <c r="D109">
        <v>49.017200000000003</v>
      </c>
      <c r="E109">
        <v>49.642499999999998</v>
      </c>
      <c r="F109">
        <v>269954.84237600002</v>
      </c>
      <c r="G109">
        <v>139.04168796499999</v>
      </c>
    </row>
    <row r="110" spans="1:7" x14ac:dyDescent="0.15">
      <c r="A110" t="s">
        <v>220</v>
      </c>
      <c r="B110">
        <v>7707.1872000000003</v>
      </c>
      <c r="C110">
        <v>42.654800000000002</v>
      </c>
      <c r="D110">
        <v>47.253500000000003</v>
      </c>
      <c r="E110">
        <v>47.685099999999998</v>
      </c>
      <c r="F110">
        <v>157953.24119199999</v>
      </c>
      <c r="G110">
        <v>123.546875954</v>
      </c>
    </row>
    <row r="111" spans="1:7" x14ac:dyDescent="0.15">
      <c r="A111" t="s">
        <v>221</v>
      </c>
      <c r="B111">
        <v>4048.0111999999999</v>
      </c>
      <c r="C111">
        <v>40.720500000000001</v>
      </c>
      <c r="D111">
        <v>45.775199999999998</v>
      </c>
      <c r="E111">
        <v>46.085500000000003</v>
      </c>
      <c r="F111">
        <v>103016.521433</v>
      </c>
      <c r="G111">
        <v>110.711989164</v>
      </c>
    </row>
    <row r="112" spans="1:7" x14ac:dyDescent="0.15">
      <c r="A112" t="s">
        <v>222</v>
      </c>
      <c r="B112">
        <v>2148.4079999999999</v>
      </c>
      <c r="C112">
        <v>38.3429</v>
      </c>
      <c r="D112">
        <v>44.412799999999997</v>
      </c>
      <c r="E112">
        <v>44.563499999999998</v>
      </c>
      <c r="F112">
        <v>66461.864720099999</v>
      </c>
      <c r="G112">
        <v>85.072368860200001</v>
      </c>
    </row>
    <row r="113" spans="1:7" x14ac:dyDescent="0.15">
      <c r="A113" t="s">
        <v>223</v>
      </c>
      <c r="B113">
        <v>60909.161599999999</v>
      </c>
      <c r="C113">
        <v>39.501899999999999</v>
      </c>
      <c r="D113">
        <v>42.2316</v>
      </c>
      <c r="E113">
        <v>42.522199999999998</v>
      </c>
      <c r="F113">
        <v>668569.30753400002</v>
      </c>
      <c r="G113">
        <v>218.66527891199999</v>
      </c>
    </row>
    <row r="114" spans="1:7" x14ac:dyDescent="0.15">
      <c r="A114" t="s">
        <v>224</v>
      </c>
      <c r="B114">
        <v>17732.124</v>
      </c>
      <c r="C114">
        <v>37.529699999999998</v>
      </c>
      <c r="D114">
        <v>39.025300000000001</v>
      </c>
      <c r="E114">
        <v>40.997999999999998</v>
      </c>
      <c r="F114">
        <v>350944.56901600002</v>
      </c>
      <c r="G114">
        <v>146.11081194900001</v>
      </c>
    </row>
    <row r="115" spans="1:7" x14ac:dyDescent="0.15">
      <c r="A115" t="s">
        <v>225</v>
      </c>
      <c r="B115">
        <v>8977.1352000000006</v>
      </c>
      <c r="C115">
        <v>36.4084</v>
      </c>
      <c r="D115">
        <v>37.383600000000001</v>
      </c>
      <c r="E115">
        <v>39.8643</v>
      </c>
      <c r="F115">
        <v>230035.60024100001</v>
      </c>
      <c r="G115">
        <v>113.65841198</v>
      </c>
    </row>
    <row r="116" spans="1:7" x14ac:dyDescent="0.15">
      <c r="A116" t="s">
        <v>226</v>
      </c>
      <c r="B116">
        <v>4914.7183999999997</v>
      </c>
      <c r="C116">
        <v>35.023899999999998</v>
      </c>
      <c r="D116">
        <v>35.306800000000003</v>
      </c>
      <c r="E116">
        <v>38.546599999999998</v>
      </c>
      <c r="F116">
        <v>156489.64262599999</v>
      </c>
      <c r="G116">
        <v>98.597539901700003</v>
      </c>
    </row>
    <row r="117" spans="1:7" x14ac:dyDescent="0.15">
      <c r="A117" t="s">
        <v>227</v>
      </c>
      <c r="B117">
        <v>34185.8992</v>
      </c>
      <c r="C117">
        <v>40.366599999999998</v>
      </c>
      <c r="D117">
        <v>41.841200000000001</v>
      </c>
      <c r="E117">
        <v>43.517699999999998</v>
      </c>
      <c r="F117">
        <v>299473.95398799999</v>
      </c>
      <c r="G117">
        <v>148.73821997600001</v>
      </c>
    </row>
    <row r="118" spans="1:7" x14ac:dyDescent="0.15">
      <c r="A118" t="s">
        <v>228</v>
      </c>
      <c r="B118">
        <v>8930.8768</v>
      </c>
      <c r="C118">
        <v>39.337299999999999</v>
      </c>
      <c r="D118">
        <v>41.3033</v>
      </c>
      <c r="E118">
        <v>42.345999999999997</v>
      </c>
      <c r="F118">
        <v>157060.41427800001</v>
      </c>
      <c r="G118">
        <v>105.775745153</v>
      </c>
    </row>
    <row r="119" spans="1:7" x14ac:dyDescent="0.15">
      <c r="A119" t="s">
        <v>229</v>
      </c>
      <c r="B119">
        <v>4368.6704</v>
      </c>
      <c r="C119">
        <v>38.044899999999998</v>
      </c>
      <c r="D119">
        <v>40.717799999999997</v>
      </c>
      <c r="E119">
        <v>41.171300000000002</v>
      </c>
      <c r="F119">
        <v>100836.234864</v>
      </c>
      <c r="G119">
        <v>90.507904052699999</v>
      </c>
    </row>
    <row r="120" spans="1:7" x14ac:dyDescent="0.15">
      <c r="A120" t="s">
        <v>230</v>
      </c>
      <c r="B120">
        <v>2315.2831999999999</v>
      </c>
      <c r="C120">
        <v>36.2864</v>
      </c>
      <c r="D120">
        <v>40.053600000000003</v>
      </c>
      <c r="E120">
        <v>39.955100000000002</v>
      </c>
      <c r="F120">
        <v>65586.5382445</v>
      </c>
      <c r="G120">
        <v>81.577620983100005</v>
      </c>
    </row>
    <row r="121" spans="1:7" x14ac:dyDescent="0.15">
      <c r="A121" t="s">
        <v>231</v>
      </c>
      <c r="B121">
        <v>60838.110399999998</v>
      </c>
      <c r="C121">
        <v>38.123100000000001</v>
      </c>
      <c r="D121">
        <v>45.600200000000001</v>
      </c>
      <c r="E121">
        <v>43.353200000000001</v>
      </c>
      <c r="F121">
        <v>479106.81747900002</v>
      </c>
      <c r="G121">
        <v>183.666538</v>
      </c>
    </row>
    <row r="122" spans="1:7" x14ac:dyDescent="0.15">
      <c r="A122" t="s">
        <v>232</v>
      </c>
      <c r="B122">
        <v>10717.936</v>
      </c>
      <c r="C122">
        <v>37.1952</v>
      </c>
      <c r="D122">
        <v>44.816600000000001</v>
      </c>
      <c r="E122">
        <v>42.404000000000003</v>
      </c>
      <c r="F122">
        <v>195820.49123799999</v>
      </c>
      <c r="G122">
        <v>130.796812773</v>
      </c>
    </row>
    <row r="123" spans="1:7" x14ac:dyDescent="0.15">
      <c r="A123" t="s">
        <v>233</v>
      </c>
      <c r="B123">
        <v>4458.8959999999997</v>
      </c>
      <c r="C123">
        <v>36.240600000000001</v>
      </c>
      <c r="D123">
        <v>43.994599999999998</v>
      </c>
      <c r="E123">
        <v>41.4377</v>
      </c>
      <c r="F123">
        <v>112172.05594000001</v>
      </c>
      <c r="G123">
        <v>107.833327055</v>
      </c>
    </row>
    <row r="124" spans="1:7" x14ac:dyDescent="0.15">
      <c r="A124" t="s">
        <v>234</v>
      </c>
      <c r="B124">
        <v>2232.6304</v>
      </c>
      <c r="C124">
        <v>34.846499999999999</v>
      </c>
      <c r="D124">
        <v>43.066099999999999</v>
      </c>
      <c r="E124">
        <v>40.371699999999997</v>
      </c>
      <c r="F124">
        <v>71623.868682800006</v>
      </c>
      <c r="G124">
        <v>87.248661994900004</v>
      </c>
    </row>
    <row r="125" spans="1:7" x14ac:dyDescent="0.15">
      <c r="A125" t="s">
        <v>235</v>
      </c>
      <c r="B125">
        <v>113157.32</v>
      </c>
      <c r="C125">
        <v>43.067700000000002</v>
      </c>
      <c r="D125">
        <v>37.918700000000001</v>
      </c>
      <c r="E125">
        <v>38.837899999999998</v>
      </c>
      <c r="F125">
        <v>441674.43218900001</v>
      </c>
      <c r="G125">
        <v>238.397666216</v>
      </c>
    </row>
    <row r="126" spans="1:7" x14ac:dyDescent="0.15">
      <c r="A126" t="s">
        <v>236</v>
      </c>
      <c r="B126">
        <v>44934.962699999996</v>
      </c>
      <c r="C126">
        <v>39.109200000000001</v>
      </c>
      <c r="D126">
        <v>35.005400000000002</v>
      </c>
      <c r="E126">
        <v>36.260199999999998</v>
      </c>
      <c r="F126">
        <v>281694.586702</v>
      </c>
      <c r="G126">
        <v>204.23943686499999</v>
      </c>
    </row>
    <row r="127" spans="1:7" x14ac:dyDescent="0.15">
      <c r="A127" t="s">
        <v>237</v>
      </c>
      <c r="B127">
        <v>21300.757300000001</v>
      </c>
      <c r="C127">
        <v>35.867400000000004</v>
      </c>
      <c r="D127">
        <v>33.277200000000001</v>
      </c>
      <c r="E127">
        <v>34.718499999999999</v>
      </c>
      <c r="F127">
        <v>193360.58921800001</v>
      </c>
      <c r="G127">
        <v>153.09713816600001</v>
      </c>
    </row>
    <row r="128" spans="1:7" x14ac:dyDescent="0.15">
      <c r="A128" t="s">
        <v>238</v>
      </c>
      <c r="B128">
        <v>9517.4907000000003</v>
      </c>
      <c r="C128">
        <v>32.942500000000003</v>
      </c>
      <c r="D128">
        <v>31.7883</v>
      </c>
      <c r="E128">
        <v>33.401800000000001</v>
      </c>
      <c r="F128">
        <v>134110.80168500001</v>
      </c>
      <c r="G128">
        <v>124.73270392400001</v>
      </c>
    </row>
    <row r="129" spans="1:7" x14ac:dyDescent="0.15">
      <c r="A129" t="s">
        <v>239</v>
      </c>
      <c r="B129">
        <v>14583.7816</v>
      </c>
      <c r="C129">
        <v>40.779600000000002</v>
      </c>
      <c r="D129">
        <v>44.256500000000003</v>
      </c>
      <c r="E129">
        <v>45.156199999999998</v>
      </c>
      <c r="F129">
        <v>173061.50621200001</v>
      </c>
      <c r="G129">
        <v>86.587725162500007</v>
      </c>
    </row>
    <row r="130" spans="1:7" x14ac:dyDescent="0.15">
      <c r="A130" t="s">
        <v>240</v>
      </c>
      <c r="B130">
        <v>5606.5511999999999</v>
      </c>
      <c r="C130">
        <v>38.657400000000003</v>
      </c>
      <c r="D130">
        <v>42.744</v>
      </c>
      <c r="E130">
        <v>43.777700000000003</v>
      </c>
      <c r="F130">
        <v>93344.928823199996</v>
      </c>
      <c r="G130">
        <v>73.939144849800002</v>
      </c>
    </row>
    <row r="131" spans="1:7" x14ac:dyDescent="0.15">
      <c r="A131" t="s">
        <v>241</v>
      </c>
      <c r="B131">
        <v>2537.6952000000001</v>
      </c>
      <c r="C131">
        <v>36.456499999999998</v>
      </c>
      <c r="D131">
        <v>41.547600000000003</v>
      </c>
      <c r="E131">
        <v>42.6</v>
      </c>
      <c r="F131">
        <v>63212.175451000003</v>
      </c>
      <c r="G131">
        <v>53.0603451729</v>
      </c>
    </row>
    <row r="132" spans="1:7" x14ac:dyDescent="0.15">
      <c r="A132" t="s">
        <v>242</v>
      </c>
      <c r="B132">
        <v>1126.8704</v>
      </c>
      <c r="C132">
        <v>34.131900000000002</v>
      </c>
      <c r="D132">
        <v>40.442500000000003</v>
      </c>
      <c r="E132">
        <v>41.434899999999999</v>
      </c>
      <c r="F132">
        <v>41569.367084799997</v>
      </c>
      <c r="G132">
        <v>42.461390018499998</v>
      </c>
    </row>
    <row r="133" spans="1:7" x14ac:dyDescent="0.15">
      <c r="A133" t="s">
        <v>243</v>
      </c>
      <c r="B133">
        <v>9716.9896000000008</v>
      </c>
      <c r="C133">
        <v>44.419600000000003</v>
      </c>
      <c r="D133">
        <v>47.479500000000002</v>
      </c>
      <c r="E133">
        <v>48.4482</v>
      </c>
      <c r="F133">
        <v>166537.37145999999</v>
      </c>
      <c r="G133">
        <v>82.359552860299999</v>
      </c>
    </row>
    <row r="134" spans="1:7" x14ac:dyDescent="0.15">
      <c r="A134" t="s">
        <v>244</v>
      </c>
      <c r="B134">
        <v>4798.6055999999999</v>
      </c>
      <c r="C134">
        <v>41.248899999999999</v>
      </c>
      <c r="D134">
        <v>45.340800000000002</v>
      </c>
      <c r="E134">
        <v>46.066099999999999</v>
      </c>
      <c r="F134">
        <v>112452.25724200001</v>
      </c>
      <c r="G134">
        <v>67.485455989800002</v>
      </c>
    </row>
    <row r="135" spans="1:7" x14ac:dyDescent="0.15">
      <c r="A135" t="s">
        <v>245</v>
      </c>
      <c r="B135">
        <v>2545.2336</v>
      </c>
      <c r="C135">
        <v>38.184699999999999</v>
      </c>
      <c r="D135">
        <v>43.815600000000003</v>
      </c>
      <c r="E135">
        <v>44.369700000000002</v>
      </c>
      <c r="F135">
        <v>82042.9540729</v>
      </c>
      <c r="G135">
        <v>55.5471720695</v>
      </c>
    </row>
    <row r="136" spans="1:7" x14ac:dyDescent="0.15">
      <c r="A136" t="s">
        <v>246</v>
      </c>
      <c r="B136">
        <v>1324.8568</v>
      </c>
      <c r="C136">
        <v>35.218499999999999</v>
      </c>
      <c r="D136">
        <v>42.529699999999998</v>
      </c>
      <c r="E136">
        <v>42.8643</v>
      </c>
      <c r="F136">
        <v>56452.949710399997</v>
      </c>
      <c r="G136">
        <v>45.982244968400003</v>
      </c>
    </row>
    <row r="137" spans="1:7" x14ac:dyDescent="0.15">
      <c r="A137" t="s">
        <v>247</v>
      </c>
      <c r="B137">
        <v>15351.6656</v>
      </c>
      <c r="C137">
        <v>38.652799999999999</v>
      </c>
      <c r="D137">
        <v>40.215699999999998</v>
      </c>
      <c r="E137">
        <v>43.969900000000003</v>
      </c>
      <c r="F137">
        <v>140488.326435</v>
      </c>
      <c r="G137">
        <v>71.466606855400002</v>
      </c>
    </row>
    <row r="138" spans="1:7" x14ac:dyDescent="0.15">
      <c r="A138" t="s">
        <v>248</v>
      </c>
      <c r="B138">
        <v>4495.9736000000003</v>
      </c>
      <c r="C138">
        <v>37.109000000000002</v>
      </c>
      <c r="D138">
        <v>39.395400000000002</v>
      </c>
      <c r="E138">
        <v>42.477600000000002</v>
      </c>
      <c r="F138">
        <v>78229.666273099996</v>
      </c>
      <c r="G138">
        <v>46.566584110299999</v>
      </c>
    </row>
    <row r="139" spans="1:7" x14ac:dyDescent="0.15">
      <c r="A139" t="s">
        <v>249</v>
      </c>
      <c r="B139">
        <v>2088.8824</v>
      </c>
      <c r="C139">
        <v>35.394300000000001</v>
      </c>
      <c r="D139">
        <v>38.760399999999997</v>
      </c>
      <c r="E139">
        <v>41.137500000000003</v>
      </c>
      <c r="F139">
        <v>51938.8104036</v>
      </c>
      <c r="G139">
        <v>36.053026914599997</v>
      </c>
    </row>
    <row r="140" spans="1:7" x14ac:dyDescent="0.15">
      <c r="A140" t="s">
        <v>250</v>
      </c>
      <c r="B140">
        <v>1010.7968</v>
      </c>
      <c r="C140">
        <v>33.270299999999999</v>
      </c>
      <c r="D140">
        <v>37.994999999999997</v>
      </c>
      <c r="E140">
        <v>39.8215</v>
      </c>
      <c r="F140">
        <v>35211.021507999998</v>
      </c>
      <c r="G140">
        <v>32.826604127899998</v>
      </c>
    </row>
    <row r="141" spans="1:7" x14ac:dyDescent="0.15">
      <c r="A141" t="s">
        <v>251</v>
      </c>
      <c r="B141">
        <v>14771.6608</v>
      </c>
      <c r="C141">
        <v>39.383400000000002</v>
      </c>
      <c r="D141">
        <v>44.188000000000002</v>
      </c>
      <c r="E141">
        <v>45.696100000000001</v>
      </c>
      <c r="F141">
        <v>188184.95275500001</v>
      </c>
      <c r="G141">
        <v>73.392066955600001</v>
      </c>
    </row>
    <row r="142" spans="1:7" x14ac:dyDescent="0.15">
      <c r="A142" t="s">
        <v>252</v>
      </c>
      <c r="B142">
        <v>4820.7511999999997</v>
      </c>
      <c r="C142">
        <v>37.717799999999997</v>
      </c>
      <c r="D142">
        <v>43.087499999999999</v>
      </c>
      <c r="E142">
        <v>43.889299999999999</v>
      </c>
      <c r="F142">
        <v>113815.234778</v>
      </c>
      <c r="G142">
        <v>58.200914859800001</v>
      </c>
    </row>
    <row r="143" spans="1:7" x14ac:dyDescent="0.15">
      <c r="A143" t="s">
        <v>253</v>
      </c>
      <c r="B143">
        <v>2279.3832000000002</v>
      </c>
      <c r="C143">
        <v>35.985199999999999</v>
      </c>
      <c r="D143">
        <v>42.094799999999999</v>
      </c>
      <c r="E143">
        <v>42.426000000000002</v>
      </c>
      <c r="F143">
        <v>71271.857633799998</v>
      </c>
      <c r="G143">
        <v>47.825963020300001</v>
      </c>
    </row>
    <row r="144" spans="1:7" x14ac:dyDescent="0.15">
      <c r="A144" t="s">
        <v>254</v>
      </c>
      <c r="B144">
        <v>1147.9256</v>
      </c>
      <c r="C144">
        <v>33.977600000000002</v>
      </c>
      <c r="D144">
        <v>41.073999999999998</v>
      </c>
      <c r="E144">
        <v>40.9392</v>
      </c>
      <c r="F144">
        <v>46921.852438200003</v>
      </c>
      <c r="G144">
        <v>38.970966100699997</v>
      </c>
    </row>
    <row r="145" spans="1:7" x14ac:dyDescent="0.15">
      <c r="A145" t="s">
        <v>255</v>
      </c>
      <c r="B145">
        <v>33080.567199999998</v>
      </c>
      <c r="C145">
        <v>37.386699999999998</v>
      </c>
      <c r="D145">
        <v>42.500599999999999</v>
      </c>
      <c r="E145">
        <v>44.715299999999999</v>
      </c>
      <c r="F145">
        <v>145562.46674900001</v>
      </c>
      <c r="G145">
        <v>114.40762591399999</v>
      </c>
    </row>
    <row r="146" spans="1:7" x14ac:dyDescent="0.15">
      <c r="A146" t="s">
        <v>256</v>
      </c>
      <c r="B146">
        <v>5713.4080000000004</v>
      </c>
      <c r="C146">
        <v>35.4129</v>
      </c>
      <c r="D146">
        <v>41.439</v>
      </c>
      <c r="E146">
        <v>43.781599999999997</v>
      </c>
      <c r="F146">
        <v>60283.913455499998</v>
      </c>
      <c r="G146">
        <v>55.116008043299999</v>
      </c>
    </row>
    <row r="147" spans="1:7" x14ac:dyDescent="0.15">
      <c r="A147" t="s">
        <v>257</v>
      </c>
      <c r="B147">
        <v>1810.1079999999999</v>
      </c>
      <c r="C147">
        <v>34.103900000000003</v>
      </c>
      <c r="D147">
        <v>40.334200000000003</v>
      </c>
      <c r="E147">
        <v>42.871299999999998</v>
      </c>
      <c r="F147">
        <v>35723.041797600003</v>
      </c>
      <c r="G147">
        <v>38.9307501316</v>
      </c>
    </row>
    <row r="148" spans="1:7" x14ac:dyDescent="0.15">
      <c r="A148" t="s">
        <v>258</v>
      </c>
      <c r="B148">
        <v>806.64400000000001</v>
      </c>
      <c r="C148">
        <v>32.552500000000002</v>
      </c>
      <c r="D148">
        <v>39.232300000000002</v>
      </c>
      <c r="E148">
        <v>41.948399999999999</v>
      </c>
      <c r="F148">
        <v>22743.890672400001</v>
      </c>
      <c r="G148">
        <v>30.726014852500001</v>
      </c>
    </row>
    <row r="149" spans="1:7" x14ac:dyDescent="0.15">
      <c r="A149" t="s">
        <v>259</v>
      </c>
      <c r="B149">
        <v>2966.0183999999999</v>
      </c>
      <c r="C149">
        <v>41.257899999999999</v>
      </c>
      <c r="D149">
        <v>43.720599999999997</v>
      </c>
      <c r="E149">
        <v>44.5105</v>
      </c>
      <c r="F149">
        <v>27071.815912999999</v>
      </c>
      <c r="G149">
        <v>15.3007769585</v>
      </c>
    </row>
    <row r="150" spans="1:7" x14ac:dyDescent="0.15">
      <c r="A150" t="s">
        <v>260</v>
      </c>
      <c r="B150">
        <v>1367.92</v>
      </c>
      <c r="C150">
        <v>38.026600000000002</v>
      </c>
      <c r="D150">
        <v>41.527999999999999</v>
      </c>
      <c r="E150">
        <v>41.905299999999997</v>
      </c>
      <c r="F150">
        <v>19943.421307100001</v>
      </c>
      <c r="G150">
        <v>9.9298110008199991</v>
      </c>
    </row>
    <row r="151" spans="1:7" x14ac:dyDescent="0.15">
      <c r="A151" t="s">
        <v>261</v>
      </c>
      <c r="B151">
        <v>689.85599999999999</v>
      </c>
      <c r="C151">
        <v>35.110399999999998</v>
      </c>
      <c r="D151">
        <v>39.762999999999998</v>
      </c>
      <c r="E151">
        <v>39.978900000000003</v>
      </c>
      <c r="F151">
        <v>14182.294750200001</v>
      </c>
      <c r="G151">
        <v>7.7017889022799997</v>
      </c>
    </row>
    <row r="152" spans="1:7" x14ac:dyDescent="0.15">
      <c r="A152" t="s">
        <v>262</v>
      </c>
      <c r="B152">
        <v>352.10559999999998</v>
      </c>
      <c r="C152">
        <v>32.472999999999999</v>
      </c>
      <c r="D152">
        <v>38.195900000000002</v>
      </c>
      <c r="E152">
        <v>38.241700000000002</v>
      </c>
      <c r="F152">
        <v>9717.8472695300006</v>
      </c>
      <c r="G152">
        <v>6.4735000133499998</v>
      </c>
    </row>
    <row r="153" spans="1:7" x14ac:dyDescent="0.15">
      <c r="A153" t="s">
        <v>263</v>
      </c>
      <c r="B153">
        <v>3019.3416000000002</v>
      </c>
      <c r="C153">
        <v>40.465000000000003</v>
      </c>
      <c r="D153">
        <v>44.081400000000002</v>
      </c>
      <c r="E153">
        <v>45.808900000000001</v>
      </c>
      <c r="F153">
        <v>24223.847182699999</v>
      </c>
      <c r="G153">
        <v>15.0438251495</v>
      </c>
    </row>
    <row r="154" spans="1:7" x14ac:dyDescent="0.15">
      <c r="A154" t="s">
        <v>264</v>
      </c>
      <c r="B154">
        <v>1356.5512000000001</v>
      </c>
      <c r="C154">
        <v>37.904000000000003</v>
      </c>
      <c r="D154">
        <v>42.2879</v>
      </c>
      <c r="E154">
        <v>43.638399999999997</v>
      </c>
      <c r="F154">
        <v>16566.144120199999</v>
      </c>
      <c r="G154">
        <v>10.752882957500001</v>
      </c>
    </row>
    <row r="155" spans="1:7" x14ac:dyDescent="0.15">
      <c r="A155" t="s">
        <v>265</v>
      </c>
      <c r="B155">
        <v>682.08640000000003</v>
      </c>
      <c r="C155">
        <v>35.213999999999999</v>
      </c>
      <c r="D155">
        <v>40.781799999999997</v>
      </c>
      <c r="E155">
        <v>41.886699999999998</v>
      </c>
      <c r="F155">
        <v>12167.462224999999</v>
      </c>
      <c r="G155">
        <v>8.9177510738399999</v>
      </c>
    </row>
    <row r="156" spans="1:7" x14ac:dyDescent="0.15">
      <c r="A156" t="s">
        <v>266</v>
      </c>
      <c r="B156">
        <v>347.2056</v>
      </c>
      <c r="C156">
        <v>32.437800000000003</v>
      </c>
      <c r="D156">
        <v>39.363199999999999</v>
      </c>
      <c r="E156">
        <v>40.288699999999999</v>
      </c>
      <c r="F156">
        <v>8787.9327766799997</v>
      </c>
      <c r="G156">
        <v>6.5657279491400002</v>
      </c>
    </row>
    <row r="157" spans="1:7" x14ac:dyDescent="0.15">
      <c r="A157" t="s">
        <v>267</v>
      </c>
      <c r="B157">
        <v>5759.08</v>
      </c>
      <c r="C157">
        <v>38.7211</v>
      </c>
      <c r="D157">
        <v>42.2089</v>
      </c>
      <c r="E157">
        <v>43.447099999999999</v>
      </c>
      <c r="F157">
        <v>25433.432452199999</v>
      </c>
      <c r="G157">
        <v>18.2144091129</v>
      </c>
    </row>
    <row r="158" spans="1:7" x14ac:dyDescent="0.15">
      <c r="A158" t="s">
        <v>268</v>
      </c>
      <c r="B158">
        <v>2542.1927999999998</v>
      </c>
      <c r="C158">
        <v>35.24</v>
      </c>
      <c r="D158">
        <v>39.775700000000001</v>
      </c>
      <c r="E158">
        <v>40.854599999999998</v>
      </c>
      <c r="F158">
        <v>17280.0225651</v>
      </c>
      <c r="G158">
        <v>13.305352926299999</v>
      </c>
    </row>
    <row r="159" spans="1:7" x14ac:dyDescent="0.15">
      <c r="A159" t="s">
        <v>269</v>
      </c>
      <c r="B159">
        <v>1224.6328000000001</v>
      </c>
      <c r="C159">
        <v>32.180100000000003</v>
      </c>
      <c r="D159">
        <v>38.024999999999999</v>
      </c>
      <c r="E159">
        <v>38.927399999999999</v>
      </c>
      <c r="F159">
        <v>12653.643149400001</v>
      </c>
      <c r="G159">
        <v>10.411468029</v>
      </c>
    </row>
    <row r="160" spans="1:7" x14ac:dyDescent="0.15">
      <c r="A160" t="s">
        <v>270</v>
      </c>
      <c r="B160">
        <v>570.0616</v>
      </c>
      <c r="C160">
        <v>29.321100000000001</v>
      </c>
      <c r="D160">
        <v>36.505899999999997</v>
      </c>
      <c r="E160">
        <v>37.242699999999999</v>
      </c>
      <c r="F160">
        <v>9000.4003918199996</v>
      </c>
      <c r="G160">
        <v>8.3989431858099994</v>
      </c>
    </row>
    <row r="161" spans="1:7" x14ac:dyDescent="0.15">
      <c r="A161" t="s">
        <v>271</v>
      </c>
      <c r="B161">
        <v>4316.5231999999996</v>
      </c>
      <c r="C161">
        <v>39.346299999999999</v>
      </c>
      <c r="D161">
        <v>41.611400000000003</v>
      </c>
      <c r="E161">
        <v>43.158200000000001</v>
      </c>
      <c r="F161">
        <v>24685.746033899999</v>
      </c>
      <c r="G161">
        <v>11.9512939453</v>
      </c>
    </row>
    <row r="162" spans="1:7" x14ac:dyDescent="0.15">
      <c r="A162" t="s">
        <v>272</v>
      </c>
      <c r="B162">
        <v>1674.0472</v>
      </c>
      <c r="C162">
        <v>35.924100000000003</v>
      </c>
      <c r="D162">
        <v>39.476500000000001</v>
      </c>
      <c r="E162">
        <v>41.093800000000002</v>
      </c>
      <c r="F162">
        <v>16369.943666900001</v>
      </c>
      <c r="G162">
        <v>8.5340299606300007</v>
      </c>
    </row>
    <row r="163" spans="1:7" x14ac:dyDescent="0.15">
      <c r="A163" t="s">
        <v>273</v>
      </c>
      <c r="B163">
        <v>795.84960000000001</v>
      </c>
      <c r="C163">
        <v>33.207900000000002</v>
      </c>
      <c r="D163">
        <v>37.878100000000003</v>
      </c>
      <c r="E163">
        <v>39.634999999999998</v>
      </c>
      <c r="F163">
        <v>11735.875455900001</v>
      </c>
      <c r="G163">
        <v>6.4533710479700002</v>
      </c>
    </row>
    <row r="164" spans="1:7" x14ac:dyDescent="0.15">
      <c r="A164" t="s">
        <v>274</v>
      </c>
      <c r="B164">
        <v>382.17599999999999</v>
      </c>
      <c r="C164">
        <v>30.571300000000001</v>
      </c>
      <c r="D164">
        <v>36.4146</v>
      </c>
      <c r="E164">
        <v>38.288200000000003</v>
      </c>
      <c r="F164">
        <v>8161.3104808300004</v>
      </c>
      <c r="G164">
        <v>4.8302202224700004</v>
      </c>
    </row>
    <row r="165" spans="1:7" x14ac:dyDescent="0.15">
      <c r="A165" t="s">
        <v>275</v>
      </c>
      <c r="B165">
        <v>1318.3288</v>
      </c>
      <c r="C165">
        <v>41.255699999999997</v>
      </c>
      <c r="D165">
        <v>44.617899999999999</v>
      </c>
      <c r="E165">
        <v>43.796599999999998</v>
      </c>
      <c r="F165">
        <v>7634.7693099999997</v>
      </c>
      <c r="G165">
        <v>4.4469730853999998</v>
      </c>
    </row>
    <row r="166" spans="1:7" x14ac:dyDescent="0.15">
      <c r="A166" t="s">
        <v>276</v>
      </c>
      <c r="B166">
        <v>627.18079999999998</v>
      </c>
      <c r="C166">
        <v>37.154800000000002</v>
      </c>
      <c r="D166">
        <v>42.054400000000001</v>
      </c>
      <c r="E166">
        <v>40.829099999999997</v>
      </c>
      <c r="F166">
        <v>5714.0233750300004</v>
      </c>
      <c r="G166">
        <v>3.2301950454699999</v>
      </c>
    </row>
    <row r="167" spans="1:7" x14ac:dyDescent="0.15">
      <c r="A167" t="s">
        <v>277</v>
      </c>
      <c r="B167">
        <v>316.14319999999998</v>
      </c>
      <c r="C167">
        <v>33.803100000000001</v>
      </c>
      <c r="D167">
        <v>40.279400000000003</v>
      </c>
      <c r="E167">
        <v>38.801499999999997</v>
      </c>
      <c r="F167">
        <v>4374.2367803999996</v>
      </c>
      <c r="G167">
        <v>2.37197685242</v>
      </c>
    </row>
    <row r="168" spans="1:7" x14ac:dyDescent="0.15">
      <c r="A168" t="s">
        <v>278</v>
      </c>
      <c r="B168">
        <v>158.25839999999999</v>
      </c>
      <c r="C168">
        <v>30.8522</v>
      </c>
      <c r="D168">
        <v>38.610599999999998</v>
      </c>
      <c r="E168">
        <v>36.9651</v>
      </c>
      <c r="F168">
        <v>3039.1040415799998</v>
      </c>
      <c r="G168">
        <v>1.7903549671200001</v>
      </c>
    </row>
    <row r="169" spans="1:7" x14ac:dyDescent="0.15">
      <c r="A169" t="s">
        <v>279</v>
      </c>
      <c r="B169">
        <v>1363.2408</v>
      </c>
      <c r="C169">
        <v>38.433799999999998</v>
      </c>
      <c r="D169">
        <v>44.031500000000001</v>
      </c>
      <c r="E169">
        <v>45.386299999999999</v>
      </c>
      <c r="F169">
        <v>5496.7468690899996</v>
      </c>
      <c r="G169">
        <v>5.1908140182500002</v>
      </c>
    </row>
    <row r="170" spans="1:7" x14ac:dyDescent="0.15">
      <c r="A170" t="s">
        <v>280</v>
      </c>
      <c r="B170">
        <v>495.87599999999998</v>
      </c>
      <c r="C170">
        <v>35.149000000000001</v>
      </c>
      <c r="D170">
        <v>41.868000000000002</v>
      </c>
      <c r="E170">
        <v>43.127099999999999</v>
      </c>
      <c r="F170">
        <v>2992.71563268</v>
      </c>
      <c r="G170">
        <v>3.2878530025499999</v>
      </c>
    </row>
    <row r="171" spans="1:7" x14ac:dyDescent="0.15">
      <c r="A171" t="s">
        <v>281</v>
      </c>
      <c r="B171">
        <v>223.0008</v>
      </c>
      <c r="C171">
        <v>32.399000000000001</v>
      </c>
      <c r="D171">
        <v>40.183500000000002</v>
      </c>
      <c r="E171">
        <v>41.3949</v>
      </c>
      <c r="F171">
        <v>1900.62553716</v>
      </c>
      <c r="G171">
        <v>2.6230900287600001</v>
      </c>
    </row>
    <row r="172" spans="1:7" x14ac:dyDescent="0.15">
      <c r="A172" t="s">
        <v>282</v>
      </c>
      <c r="B172">
        <v>114.44799999999999</v>
      </c>
      <c r="C172">
        <v>29.840900000000001</v>
      </c>
      <c r="D172">
        <v>38.888199999999998</v>
      </c>
      <c r="E172">
        <v>39.963799999999999</v>
      </c>
      <c r="F172">
        <v>1248.9535095700001</v>
      </c>
      <c r="G172">
        <v>2.0987360477400001</v>
      </c>
    </row>
    <row r="173" spans="1:7" x14ac:dyDescent="0.15">
      <c r="A173" t="s">
        <v>283</v>
      </c>
      <c r="B173">
        <v>1389.9744000000001</v>
      </c>
      <c r="C173">
        <v>38.5152</v>
      </c>
      <c r="D173">
        <v>41.920299999999997</v>
      </c>
      <c r="E173">
        <v>43.050600000000003</v>
      </c>
      <c r="F173">
        <v>5458.30104708</v>
      </c>
      <c r="G173">
        <v>4.3119370937300001</v>
      </c>
    </row>
    <row r="174" spans="1:7" x14ac:dyDescent="0.15">
      <c r="A174" t="s">
        <v>284</v>
      </c>
      <c r="B174">
        <v>618.88160000000005</v>
      </c>
      <c r="C174">
        <v>35.138100000000001</v>
      </c>
      <c r="D174">
        <v>39.474899999999998</v>
      </c>
      <c r="E174">
        <v>40.369999999999997</v>
      </c>
      <c r="F174">
        <v>3790.7163214699999</v>
      </c>
      <c r="G174">
        <v>3.1369268894200002</v>
      </c>
    </row>
    <row r="175" spans="1:7" x14ac:dyDescent="0.15">
      <c r="A175" t="s">
        <v>285</v>
      </c>
      <c r="B175">
        <v>297.44720000000001</v>
      </c>
      <c r="C175">
        <v>32.103000000000002</v>
      </c>
      <c r="D175">
        <v>37.563499999999998</v>
      </c>
      <c r="E175">
        <v>38.303899999999999</v>
      </c>
      <c r="F175">
        <v>2732.0915761000001</v>
      </c>
      <c r="G175">
        <v>2.1274390220599999</v>
      </c>
    </row>
    <row r="176" spans="1:7" x14ac:dyDescent="0.15">
      <c r="A176" t="s">
        <v>286</v>
      </c>
      <c r="B176">
        <v>137.4992</v>
      </c>
      <c r="C176">
        <v>29.2179</v>
      </c>
      <c r="D176">
        <v>35.937399999999997</v>
      </c>
      <c r="E176">
        <v>36.505099999999999</v>
      </c>
      <c r="F176">
        <v>1891.12706828</v>
      </c>
      <c r="G176">
        <v>1.5878660678900001</v>
      </c>
    </row>
    <row r="177" spans="1:7" x14ac:dyDescent="0.15">
      <c r="A177" t="s">
        <v>287</v>
      </c>
      <c r="B177" s="69">
        <v>1052.3632</v>
      </c>
      <c r="C177" s="69">
        <v>39.885199999999998</v>
      </c>
      <c r="D177" s="69">
        <v>42.002899999999997</v>
      </c>
      <c r="E177" s="69">
        <v>43.050600000000003</v>
      </c>
      <c r="F177" s="69">
        <v>5391.6263752000004</v>
      </c>
      <c r="G177" s="69">
        <v>3.1904428005200001</v>
      </c>
    </row>
    <row r="178" spans="1:7" x14ac:dyDescent="0.15">
      <c r="A178" t="s">
        <v>288</v>
      </c>
      <c r="B178" s="69">
        <v>497.3784</v>
      </c>
      <c r="C178" s="69">
        <v>35.9358</v>
      </c>
      <c r="D178" s="69">
        <v>39.348599999999998</v>
      </c>
      <c r="E178" s="69">
        <v>40.505600000000001</v>
      </c>
      <c r="F178" s="69">
        <v>3825.1442007999999</v>
      </c>
      <c r="G178" s="69">
        <v>2.29740405083</v>
      </c>
    </row>
    <row r="179" spans="1:7" x14ac:dyDescent="0.15">
      <c r="A179" t="s">
        <v>289</v>
      </c>
      <c r="B179" s="69">
        <v>248.88800000000001</v>
      </c>
      <c r="C179" s="69">
        <v>32.638399999999997</v>
      </c>
      <c r="D179" s="69">
        <v>37.509799999999998</v>
      </c>
      <c r="E179" s="69">
        <v>38.773099999999999</v>
      </c>
      <c r="F179" s="69">
        <v>2881.6213149999999</v>
      </c>
      <c r="G179" s="69">
        <v>1.7050471305799999</v>
      </c>
    </row>
    <row r="180" spans="1:7" x14ac:dyDescent="0.15">
      <c r="A180" t="s">
        <v>290</v>
      </c>
      <c r="B180" s="69">
        <v>120.33280000000001</v>
      </c>
      <c r="C180" s="69">
        <v>29.705300000000001</v>
      </c>
      <c r="D180" s="69">
        <v>35.9636</v>
      </c>
      <c r="E180" s="69">
        <v>37.102899999999998</v>
      </c>
      <c r="F180" s="69">
        <v>1961.3683445500001</v>
      </c>
      <c r="G180" s="69">
        <v>1.2727599143999999</v>
      </c>
    </row>
    <row r="181" spans="1:7" x14ac:dyDescent="0.15">
      <c r="A181" t="s">
        <v>291</v>
      </c>
      <c r="B181" s="69"/>
      <c r="C181" s="69"/>
      <c r="D181" s="69"/>
      <c r="E181" s="69"/>
      <c r="F181" s="69"/>
      <c r="G181" s="69"/>
    </row>
    <row r="182" spans="1:7" x14ac:dyDescent="0.15">
      <c r="A182" t="s">
        <v>292</v>
      </c>
      <c r="B182" s="69"/>
      <c r="C182" s="69"/>
      <c r="D182" s="69"/>
      <c r="E182" s="69"/>
      <c r="F182" s="69"/>
      <c r="G182" s="69"/>
    </row>
    <row r="183" spans="1:7" x14ac:dyDescent="0.15">
      <c r="A183" t="s">
        <v>293</v>
      </c>
      <c r="B183" s="69"/>
      <c r="C183" s="69"/>
      <c r="D183" s="69"/>
      <c r="E183" s="69"/>
      <c r="F183" s="69"/>
      <c r="G183" s="69"/>
    </row>
    <row r="184" spans="1:7" x14ac:dyDescent="0.15">
      <c r="A184" t="s">
        <v>294</v>
      </c>
      <c r="B184" s="69"/>
      <c r="C184" s="69"/>
      <c r="D184" s="69"/>
      <c r="E184" s="69"/>
      <c r="F184" s="69"/>
      <c r="G184" s="69"/>
    </row>
    <row r="185" spans="1:7" x14ac:dyDescent="0.15">
      <c r="A185" t="s">
        <v>295</v>
      </c>
      <c r="B185" s="69"/>
      <c r="C185" s="69"/>
      <c r="D185" s="69"/>
      <c r="E185" s="69"/>
      <c r="F185" s="69"/>
      <c r="G185" s="69"/>
    </row>
    <row r="186" spans="1:7" x14ac:dyDescent="0.15">
      <c r="A186" t="s">
        <v>296</v>
      </c>
      <c r="B186" s="69"/>
      <c r="C186" s="69"/>
      <c r="D186" s="69"/>
      <c r="E186" s="69"/>
      <c r="F186" s="69"/>
      <c r="G186" s="69"/>
    </row>
    <row r="187" spans="1:7" x14ac:dyDescent="0.15">
      <c r="A187" t="s">
        <v>297</v>
      </c>
      <c r="B187" s="69"/>
      <c r="C187" s="69"/>
      <c r="D187" s="69"/>
      <c r="E187" s="69"/>
      <c r="F187" s="69"/>
      <c r="G187" s="69"/>
    </row>
    <row r="188" spans="1:7" x14ac:dyDescent="0.15">
      <c r="A188" t="s">
        <v>298</v>
      </c>
      <c r="B188" s="69"/>
      <c r="C188" s="69"/>
      <c r="D188" s="69"/>
      <c r="E188" s="69"/>
      <c r="F188" s="69"/>
      <c r="G188" s="69"/>
    </row>
    <row r="189" spans="1:7" x14ac:dyDescent="0.15">
      <c r="A189" t="s">
        <v>299</v>
      </c>
      <c r="B189" s="69"/>
      <c r="C189" s="69"/>
      <c r="D189" s="69"/>
      <c r="E189" s="69"/>
      <c r="F189" s="69"/>
      <c r="G189" s="69"/>
    </row>
    <row r="190" spans="1:7" x14ac:dyDescent="0.15">
      <c r="A190" t="s">
        <v>300</v>
      </c>
      <c r="B190" s="69"/>
      <c r="C190" s="69"/>
      <c r="D190" s="69"/>
      <c r="E190" s="69"/>
      <c r="F190" s="69"/>
      <c r="G190" s="69"/>
    </row>
    <row r="191" spans="1:7" x14ac:dyDescent="0.15">
      <c r="A191" t="s">
        <v>301</v>
      </c>
      <c r="B191" s="69"/>
      <c r="C191" s="69"/>
      <c r="D191" s="69"/>
      <c r="E191" s="69"/>
      <c r="F191" s="69"/>
      <c r="G191" s="69"/>
    </row>
    <row r="192" spans="1:7" x14ac:dyDescent="0.15">
      <c r="A192" t="s">
        <v>302</v>
      </c>
      <c r="B192" s="69"/>
      <c r="C192" s="69"/>
      <c r="D192" s="69"/>
      <c r="E192" s="69"/>
      <c r="F192" s="69"/>
      <c r="G192" s="69"/>
    </row>
    <row r="193" spans="1:7" x14ac:dyDescent="0.15">
      <c r="A193" t="s">
        <v>303</v>
      </c>
      <c r="B193" s="69">
        <v>3056.4520000000002</v>
      </c>
      <c r="C193" s="69">
        <v>41.395099999999999</v>
      </c>
      <c r="D193" s="69">
        <v>43.716099999999997</v>
      </c>
      <c r="E193" s="69">
        <v>44.452500000000001</v>
      </c>
      <c r="F193" s="69">
        <v>25517.431885999998</v>
      </c>
      <c r="G193" s="69">
        <v>13.485481977499999</v>
      </c>
    </row>
    <row r="194" spans="1:7" x14ac:dyDescent="0.15">
      <c r="A194" t="s">
        <v>304</v>
      </c>
      <c r="B194" s="69">
        <v>1446.1895999999999</v>
      </c>
      <c r="C194" s="69">
        <v>38.082799999999999</v>
      </c>
      <c r="D194" s="69">
        <v>41.253300000000003</v>
      </c>
      <c r="E194" s="69">
        <v>41.6524</v>
      </c>
      <c r="F194" s="69">
        <v>18786.4444406</v>
      </c>
      <c r="G194" s="69">
        <v>10.083869934100001</v>
      </c>
    </row>
    <row r="195" spans="1:7" x14ac:dyDescent="0.15">
      <c r="A195" t="s">
        <v>305</v>
      </c>
      <c r="B195" s="69">
        <v>744.79840000000002</v>
      </c>
      <c r="C195" s="69">
        <v>35.073</v>
      </c>
      <c r="D195" s="69">
        <v>39.265799999999999</v>
      </c>
      <c r="E195" s="69">
        <v>39.517699999999998</v>
      </c>
      <c r="F195" s="69">
        <v>13476.5704663</v>
      </c>
      <c r="G195" s="69">
        <v>8.0871970653500007</v>
      </c>
    </row>
    <row r="196" spans="1:7" x14ac:dyDescent="0.15">
      <c r="A196" t="s">
        <v>306</v>
      </c>
      <c r="B196" s="69">
        <v>387.68</v>
      </c>
      <c r="C196" s="69">
        <v>32.317100000000003</v>
      </c>
      <c r="D196" s="69">
        <v>37.4985</v>
      </c>
      <c r="E196" s="69">
        <v>37.625599999999999</v>
      </c>
      <c r="F196" s="69">
        <v>9493.6567072800008</v>
      </c>
      <c r="G196" s="69">
        <v>6.6382749080699996</v>
      </c>
    </row>
    <row r="197" spans="1:7" x14ac:dyDescent="0.15">
      <c r="A197" t="s">
        <v>307</v>
      </c>
      <c r="B197" s="69">
        <v>11909.424800000001</v>
      </c>
      <c r="C197" s="69">
        <v>43.031599999999997</v>
      </c>
      <c r="D197" s="69">
        <v>45.107300000000002</v>
      </c>
      <c r="E197" s="69">
        <v>45.696199999999997</v>
      </c>
      <c r="F197" s="69">
        <v>94190.702224499997</v>
      </c>
      <c r="G197" s="69">
        <v>75.775288820300005</v>
      </c>
    </row>
    <row r="198" spans="1:7" x14ac:dyDescent="0.15">
      <c r="A198" t="s">
        <v>308</v>
      </c>
      <c r="B198" s="69">
        <v>5122.9560000000001</v>
      </c>
      <c r="C198" s="69">
        <v>39.67</v>
      </c>
      <c r="D198" s="69">
        <v>42.490900000000003</v>
      </c>
      <c r="E198" s="69">
        <v>42.8855</v>
      </c>
      <c r="F198" s="69">
        <v>67365.904398900006</v>
      </c>
      <c r="G198" s="69">
        <v>50.375174045599998</v>
      </c>
    </row>
    <row r="199" spans="1:7" x14ac:dyDescent="0.15">
      <c r="A199" t="s">
        <v>309</v>
      </c>
      <c r="B199" s="69">
        <v>2501.7624000000001</v>
      </c>
      <c r="C199" s="69">
        <v>36.773099999999999</v>
      </c>
      <c r="D199" s="69">
        <v>40.544199999999996</v>
      </c>
      <c r="E199" s="69">
        <v>40.804499999999997</v>
      </c>
      <c r="F199" s="69">
        <v>51160.514356400003</v>
      </c>
      <c r="G199" s="69">
        <v>43.141035795199997</v>
      </c>
    </row>
    <row r="200" spans="1:7" x14ac:dyDescent="0.15">
      <c r="A200" t="s">
        <v>310</v>
      </c>
      <c r="B200" s="69">
        <v>1251.8032000000001</v>
      </c>
      <c r="C200" s="69">
        <v>34.042499999999997</v>
      </c>
      <c r="D200" s="69">
        <v>38.729199999999999</v>
      </c>
      <c r="E200" s="69">
        <v>38.862299999999998</v>
      </c>
      <c r="F200" s="69">
        <v>37106.877003699999</v>
      </c>
      <c r="G200" s="69">
        <v>35.702543973899999</v>
      </c>
    </row>
    <row r="201" spans="1:7" x14ac:dyDescent="0.15">
      <c r="A201" t="s">
        <v>311</v>
      </c>
      <c r="B201" s="69">
        <v>1269.5136</v>
      </c>
      <c r="C201" s="69">
        <v>50.044800000000002</v>
      </c>
      <c r="D201" s="69">
        <v>48.080199999999998</v>
      </c>
      <c r="E201" s="69">
        <v>48.286499999999997</v>
      </c>
      <c r="F201" s="69">
        <v>4271.1553666600003</v>
      </c>
      <c r="G201" s="69">
        <v>6.7953231334700002</v>
      </c>
    </row>
    <row r="202" spans="1:7" x14ac:dyDescent="0.15">
      <c r="A202" t="s">
        <v>312</v>
      </c>
      <c r="B202" s="69">
        <v>957.40800000000002</v>
      </c>
      <c r="C202" s="69">
        <v>45.833399999999997</v>
      </c>
      <c r="D202" s="69">
        <v>43.530700000000003</v>
      </c>
      <c r="E202" s="69">
        <v>44.139600000000002</v>
      </c>
      <c r="F202" s="69">
        <v>3676.5140874399999</v>
      </c>
      <c r="G202" s="69">
        <v>6.3936569690700003</v>
      </c>
    </row>
    <row r="203" spans="1:7" x14ac:dyDescent="0.15">
      <c r="A203" t="s">
        <v>313</v>
      </c>
      <c r="B203" s="69">
        <v>739.46159999999998</v>
      </c>
      <c r="C203" s="69">
        <v>41.294699999999999</v>
      </c>
      <c r="D203" s="69">
        <v>40.659799999999997</v>
      </c>
      <c r="E203" s="69">
        <v>41.555999999999997</v>
      </c>
      <c r="F203" s="69">
        <v>3257.84421015</v>
      </c>
      <c r="G203" s="69">
        <v>6.4260411262500003</v>
      </c>
    </row>
    <row r="204" spans="1:7" x14ac:dyDescent="0.15">
      <c r="A204" t="s">
        <v>314</v>
      </c>
      <c r="B204" s="69">
        <v>562.18960000000004</v>
      </c>
      <c r="C204" s="69">
        <v>36.428800000000003</v>
      </c>
      <c r="D204" s="69">
        <v>38.872500000000002</v>
      </c>
      <c r="E204" s="69">
        <v>39.9666</v>
      </c>
      <c r="F204" s="69">
        <v>2938.4272432299999</v>
      </c>
      <c r="G204" s="69">
        <v>5.5869059562699999</v>
      </c>
    </row>
    <row r="205" spans="1:7" x14ac:dyDescent="0.15">
      <c r="A205" t="s">
        <v>315</v>
      </c>
      <c r="B205" s="69">
        <v>694.71550000000002</v>
      </c>
      <c r="C205" s="69">
        <v>52.062399999999997</v>
      </c>
      <c r="D205" s="69">
        <v>55.270499999999998</v>
      </c>
      <c r="E205" s="69">
        <v>56.278799999999997</v>
      </c>
      <c r="F205" s="69">
        <v>11827.8180068</v>
      </c>
      <c r="G205" s="69">
        <v>14.583040952699999</v>
      </c>
    </row>
    <row r="206" spans="1:7" x14ac:dyDescent="0.15">
      <c r="A206" t="s">
        <v>316</v>
      </c>
      <c r="B206" s="69">
        <v>409.27839999999998</v>
      </c>
      <c r="C206" s="69">
        <v>48.136400000000002</v>
      </c>
      <c r="D206" s="69">
        <v>52.3352</v>
      </c>
      <c r="E206" s="69">
        <v>53.460299999999997</v>
      </c>
      <c r="F206" s="69">
        <v>9460.3283326599994</v>
      </c>
      <c r="G206" s="69">
        <v>12.4538700581</v>
      </c>
    </row>
    <row r="207" spans="1:7" x14ac:dyDescent="0.15">
      <c r="A207" t="s">
        <v>317</v>
      </c>
      <c r="B207" s="69">
        <v>259.95069999999998</v>
      </c>
      <c r="C207" s="69">
        <v>44.5777</v>
      </c>
      <c r="D207" s="69">
        <v>49.864100000000001</v>
      </c>
      <c r="E207" s="69">
        <v>51.073799999999999</v>
      </c>
      <c r="F207" s="69">
        <v>7341.6786453699997</v>
      </c>
      <c r="G207" s="69">
        <v>11.616676092100001</v>
      </c>
    </row>
    <row r="208" spans="1:7" x14ac:dyDescent="0.15">
      <c r="A208" t="s">
        <v>318</v>
      </c>
      <c r="B208" s="69">
        <v>167.11009999999999</v>
      </c>
      <c r="C208" s="69">
        <v>41.054099999999998</v>
      </c>
      <c r="D208" s="69">
        <v>47.695999999999998</v>
      </c>
      <c r="E208" s="69">
        <v>49.327599999999997</v>
      </c>
      <c r="F208" s="69">
        <v>5689.0199592099998</v>
      </c>
      <c r="G208" s="69">
        <v>10.858757972699999</v>
      </c>
    </row>
    <row r="209" spans="1:7" x14ac:dyDescent="0.15">
      <c r="A209" t="s">
        <v>319</v>
      </c>
      <c r="B209" s="69"/>
      <c r="C209" s="69"/>
      <c r="D209" s="69"/>
      <c r="E209" s="69"/>
      <c r="F209" s="69"/>
      <c r="G209" s="69"/>
    </row>
    <row r="210" spans="1:7" x14ac:dyDescent="0.15">
      <c r="A210" t="s">
        <v>320</v>
      </c>
      <c r="B210" s="69"/>
      <c r="C210" s="69"/>
      <c r="D210" s="69"/>
      <c r="E210" s="69"/>
      <c r="F210" s="69"/>
      <c r="G210" s="69"/>
    </row>
    <row r="211" spans="1:7" x14ac:dyDescent="0.15">
      <c r="A211" t="s">
        <v>321</v>
      </c>
      <c r="B211" s="69"/>
      <c r="C211" s="69"/>
      <c r="D211" s="69"/>
      <c r="E211" s="69"/>
      <c r="F211" s="69"/>
      <c r="G211" s="69"/>
    </row>
    <row r="212" spans="1:7" x14ac:dyDescent="0.15">
      <c r="A212" t="s">
        <v>322</v>
      </c>
      <c r="B212" s="69"/>
      <c r="C212" s="69"/>
      <c r="D212" s="69"/>
      <c r="E212" s="69"/>
      <c r="F212" s="69"/>
      <c r="G212" s="69"/>
    </row>
    <row r="213" spans="1:7" x14ac:dyDescent="0.15">
      <c r="A213" t="s">
        <v>323</v>
      </c>
      <c r="B213" s="69"/>
      <c r="C213" s="69"/>
      <c r="D213" s="69"/>
      <c r="E213" s="69"/>
      <c r="F213" s="69"/>
      <c r="G213" s="69"/>
    </row>
    <row r="214" spans="1:7" x14ac:dyDescent="0.15">
      <c r="A214" t="s">
        <v>324</v>
      </c>
      <c r="B214" s="69"/>
      <c r="C214" s="69"/>
      <c r="D214" s="69"/>
      <c r="E214" s="69"/>
      <c r="F214" s="69"/>
      <c r="G214" s="69"/>
    </row>
    <row r="215" spans="1:7" x14ac:dyDescent="0.15">
      <c r="A215" t="s">
        <v>325</v>
      </c>
      <c r="B215" s="69"/>
      <c r="C215" s="69"/>
      <c r="D215" s="69"/>
      <c r="E215" s="69"/>
      <c r="F215" s="69"/>
      <c r="G215" s="69"/>
    </row>
    <row r="216" spans="1:7" x14ac:dyDescent="0.15">
      <c r="A216" t="s">
        <v>326</v>
      </c>
      <c r="B216" s="69"/>
      <c r="C216" s="69"/>
      <c r="D216" s="69"/>
      <c r="E216" s="69"/>
      <c r="F216" s="69"/>
      <c r="G216" s="69"/>
    </row>
    <row r="217" spans="1:7" x14ac:dyDescent="0.15">
      <c r="A217" t="s">
        <v>327</v>
      </c>
      <c r="B217" s="69"/>
      <c r="C217" s="69"/>
      <c r="D217" s="69"/>
      <c r="E217" s="69"/>
      <c r="F217" s="69"/>
      <c r="G217" s="69"/>
    </row>
    <row r="218" spans="1:7" x14ac:dyDescent="0.15">
      <c r="A218" t="s">
        <v>328</v>
      </c>
      <c r="B218" s="69"/>
      <c r="C218" s="69"/>
      <c r="D218" s="69"/>
      <c r="E218" s="69"/>
      <c r="F218" s="69"/>
      <c r="G218" s="69"/>
    </row>
    <row r="219" spans="1:7" x14ac:dyDescent="0.15">
      <c r="A219" t="s">
        <v>329</v>
      </c>
      <c r="B219" s="69"/>
      <c r="C219" s="69"/>
      <c r="D219" s="69"/>
      <c r="E219" s="69"/>
      <c r="F219" s="69"/>
      <c r="G219" s="69"/>
    </row>
    <row r="220" spans="1:7" x14ac:dyDescent="0.15">
      <c r="A220" t="s">
        <v>330</v>
      </c>
      <c r="B220" s="69"/>
      <c r="C220" s="69"/>
      <c r="D220" s="69"/>
      <c r="E220" s="69"/>
      <c r="F220" s="69"/>
      <c r="G220" s="69"/>
    </row>
    <row r="221" spans="1:7" x14ac:dyDescent="0.15">
      <c r="A221" t="s">
        <v>331</v>
      </c>
      <c r="B221" s="69"/>
      <c r="C221" s="69"/>
      <c r="D221" s="69"/>
      <c r="E221" s="69"/>
      <c r="F221" s="69"/>
      <c r="G221" s="69"/>
    </row>
    <row r="222" spans="1:7" x14ac:dyDescent="0.15">
      <c r="A222" t="s">
        <v>332</v>
      </c>
      <c r="B222" s="69"/>
      <c r="C222" s="69"/>
      <c r="D222" s="69"/>
      <c r="E222" s="69"/>
      <c r="F222" s="69"/>
      <c r="G222" s="69"/>
    </row>
    <row r="223" spans="1:7" x14ac:dyDescent="0.15">
      <c r="A223" t="s">
        <v>333</v>
      </c>
      <c r="B223" s="69"/>
      <c r="C223" s="69"/>
      <c r="D223" s="69"/>
      <c r="E223" s="69"/>
      <c r="F223" s="69"/>
      <c r="G223" s="69"/>
    </row>
    <row r="224" spans="1:7" x14ac:dyDescent="0.15">
      <c r="A224" t="s">
        <v>334</v>
      </c>
      <c r="B224" s="69"/>
      <c r="C224" s="69"/>
      <c r="D224" s="69"/>
      <c r="E224" s="69"/>
      <c r="F224" s="69"/>
      <c r="G224" s="69"/>
    </row>
    <row r="225" spans="1:7" x14ac:dyDescent="0.15">
      <c r="A225" t="s">
        <v>335</v>
      </c>
      <c r="B225" s="69"/>
      <c r="C225" s="69"/>
      <c r="D225" s="69"/>
      <c r="E225" s="69"/>
      <c r="F225" s="69"/>
      <c r="G225" s="69"/>
    </row>
    <row r="226" spans="1:7" x14ac:dyDescent="0.15">
      <c r="A226" t="s">
        <v>336</v>
      </c>
      <c r="B226" s="69"/>
      <c r="C226" s="69"/>
      <c r="D226" s="69"/>
      <c r="E226" s="69"/>
      <c r="F226" s="69"/>
      <c r="G226" s="69"/>
    </row>
    <row r="227" spans="1:7" x14ac:dyDescent="0.15">
      <c r="A227" t="s">
        <v>337</v>
      </c>
      <c r="B227" s="69"/>
      <c r="C227" s="69"/>
      <c r="D227" s="69"/>
      <c r="E227" s="69"/>
      <c r="F227" s="69"/>
      <c r="G227" s="69"/>
    </row>
    <row r="228" spans="1:7" x14ac:dyDescent="0.15">
      <c r="A228" t="s">
        <v>338</v>
      </c>
      <c r="B228" s="69"/>
      <c r="C228" s="69"/>
      <c r="D228" s="69"/>
      <c r="E228" s="69"/>
      <c r="F228" s="69"/>
      <c r="G228" s="69"/>
    </row>
    <row r="229" spans="1:7" x14ac:dyDescent="0.15">
      <c r="A229" t="s">
        <v>339</v>
      </c>
      <c r="B229" s="69"/>
      <c r="C229" s="69"/>
      <c r="D229" s="69"/>
      <c r="E229" s="69"/>
      <c r="F229" s="69"/>
      <c r="G229" s="69"/>
    </row>
    <row r="230" spans="1:7" x14ac:dyDescent="0.15">
      <c r="A230" t="s">
        <v>340</v>
      </c>
      <c r="B230" s="69"/>
      <c r="C230" s="69"/>
      <c r="D230" s="69"/>
      <c r="E230" s="69"/>
      <c r="F230" s="69"/>
      <c r="G230" s="69"/>
    </row>
    <row r="231" spans="1:7" x14ac:dyDescent="0.15">
      <c r="A231" t="s">
        <v>341</v>
      </c>
      <c r="B231" s="69"/>
      <c r="C231" s="69"/>
      <c r="D231" s="69"/>
      <c r="E231" s="69"/>
      <c r="F231" s="69"/>
      <c r="G231" s="69"/>
    </row>
    <row r="232" spans="1:7" x14ac:dyDescent="0.15">
      <c r="A232" t="s">
        <v>342</v>
      </c>
      <c r="B232" s="69"/>
      <c r="C232" s="69"/>
      <c r="D232" s="69"/>
      <c r="E232" s="69"/>
      <c r="F232" s="69"/>
      <c r="G232" s="69"/>
    </row>
    <row r="233" spans="1:7" x14ac:dyDescent="0.15">
      <c r="A233" t="s">
        <v>343</v>
      </c>
      <c r="B233" s="69">
        <v>17972.365600000001</v>
      </c>
      <c r="C233" s="69">
        <v>41.013100000000001</v>
      </c>
      <c r="D233" s="69">
        <v>44.077599999999997</v>
      </c>
      <c r="E233" s="69">
        <v>44.792099999999998</v>
      </c>
      <c r="F233" s="69">
        <v>197448.426569</v>
      </c>
      <c r="G233" s="69">
        <v>99.443300962400002</v>
      </c>
    </row>
    <row r="234" spans="1:7" x14ac:dyDescent="0.15">
      <c r="A234" t="s">
        <v>344</v>
      </c>
      <c r="B234" s="69">
        <v>6665.3320000000003</v>
      </c>
      <c r="C234" s="69">
        <v>38.578200000000002</v>
      </c>
      <c r="D234" s="69">
        <v>42.177100000000003</v>
      </c>
      <c r="E234" s="69">
        <v>43.0807</v>
      </c>
      <c r="F234" s="69">
        <v>108291.75056499999</v>
      </c>
      <c r="G234" s="69">
        <v>75.368932962399995</v>
      </c>
    </row>
    <row r="235" spans="1:7" x14ac:dyDescent="0.15">
      <c r="A235" t="s">
        <v>345</v>
      </c>
      <c r="B235" s="69">
        <v>2971.6448</v>
      </c>
      <c r="C235" s="69">
        <v>36.162599999999998</v>
      </c>
      <c r="D235" s="69">
        <v>40.764800000000001</v>
      </c>
      <c r="E235" s="69">
        <v>41.716200000000001</v>
      </c>
      <c r="F235" s="69">
        <v>73708.9350939</v>
      </c>
      <c r="G235" s="69">
        <v>58.550398826600002</v>
      </c>
    </row>
    <row r="236" spans="1:7" x14ac:dyDescent="0.15">
      <c r="A236" t="s">
        <v>346</v>
      </c>
      <c r="B236" s="69">
        <v>1341.9480000000001</v>
      </c>
      <c r="C236" s="69">
        <v>33.722299999999997</v>
      </c>
      <c r="D236" s="69">
        <v>39.767000000000003</v>
      </c>
      <c r="E236" s="69">
        <v>40.681600000000003</v>
      </c>
      <c r="F236" s="69">
        <v>51336.810837999998</v>
      </c>
      <c r="G236" s="69">
        <v>47.517426967600002</v>
      </c>
    </row>
    <row r="237" spans="1:7" x14ac:dyDescent="0.15">
      <c r="A237" t="s">
        <v>347</v>
      </c>
      <c r="B237" s="69">
        <v>11087.547200000001</v>
      </c>
      <c r="C237" s="69">
        <v>44.291699999999999</v>
      </c>
      <c r="D237" s="69">
        <v>47.091500000000003</v>
      </c>
      <c r="E237" s="69">
        <v>47.8125</v>
      </c>
      <c r="F237" s="69">
        <v>175144.365724</v>
      </c>
      <c r="G237" s="69">
        <v>87.884392023100006</v>
      </c>
    </row>
    <row r="238" spans="1:7" x14ac:dyDescent="0.15">
      <c r="A238" t="s">
        <v>348</v>
      </c>
      <c r="B238" s="69">
        <v>5545.9359999999997</v>
      </c>
      <c r="C238" s="69">
        <v>41.007199999999997</v>
      </c>
      <c r="D238" s="69">
        <v>44.716299999999997</v>
      </c>
      <c r="E238" s="69">
        <v>45.240699999999997</v>
      </c>
      <c r="F238" s="69">
        <v>119411.545143</v>
      </c>
      <c r="G238" s="69">
        <v>75.445977210999999</v>
      </c>
    </row>
    <row r="239" spans="1:7" x14ac:dyDescent="0.15">
      <c r="A239" t="s">
        <v>349</v>
      </c>
      <c r="B239" s="69">
        <v>2943.5239999999999</v>
      </c>
      <c r="C239" s="69">
        <v>37.879600000000003</v>
      </c>
      <c r="D239" s="69">
        <v>43.139800000000001</v>
      </c>
      <c r="E239" s="69">
        <v>43.509300000000003</v>
      </c>
      <c r="F239" s="69">
        <v>91082.696999099993</v>
      </c>
      <c r="G239" s="69">
        <v>58.983939170799999</v>
      </c>
    </row>
    <row r="240" spans="1:7" x14ac:dyDescent="0.15">
      <c r="A240" t="s">
        <v>350</v>
      </c>
      <c r="B240" s="69">
        <v>1599.3248000000001</v>
      </c>
      <c r="C240" s="69">
        <v>35.038200000000003</v>
      </c>
      <c r="D240" s="69">
        <v>42.057499999999997</v>
      </c>
      <c r="E240" s="69">
        <v>42.214100000000002</v>
      </c>
      <c r="F240" s="69">
        <v>65084.2374089</v>
      </c>
      <c r="G240" s="69">
        <v>49.881375074399998</v>
      </c>
    </row>
    <row r="241" spans="1:7" x14ac:dyDescent="0.15">
      <c r="A241" t="s">
        <v>351</v>
      </c>
      <c r="B241" s="69">
        <v>18658.506399999998</v>
      </c>
      <c r="C241" s="69">
        <v>38.9223</v>
      </c>
      <c r="D241" s="69">
        <v>40.418100000000003</v>
      </c>
      <c r="E241" s="69">
        <v>43.638100000000001</v>
      </c>
      <c r="F241" s="69">
        <v>164762.32096499999</v>
      </c>
      <c r="G241" s="69">
        <v>79.941485166500001</v>
      </c>
    </row>
    <row r="242" spans="1:7" x14ac:dyDescent="0.15">
      <c r="A242" t="s">
        <v>352</v>
      </c>
      <c r="B242" s="69">
        <v>4709.7471999999998</v>
      </c>
      <c r="C242" s="69">
        <v>36.914999999999999</v>
      </c>
      <c r="D242" s="69">
        <v>39.136499999999998</v>
      </c>
      <c r="E242" s="69">
        <v>41.814500000000002</v>
      </c>
      <c r="F242" s="69">
        <v>88949.197414900002</v>
      </c>
      <c r="G242" s="69">
        <v>50.821896076199998</v>
      </c>
    </row>
    <row r="243" spans="1:7" x14ac:dyDescent="0.15">
      <c r="A243" t="s">
        <v>353</v>
      </c>
      <c r="B243" s="69">
        <v>2117.6880000000001</v>
      </c>
      <c r="C243" s="69">
        <v>34.862099999999998</v>
      </c>
      <c r="D243" s="69">
        <v>38.292400000000001</v>
      </c>
      <c r="E243" s="69">
        <v>40.330399999999997</v>
      </c>
      <c r="F243" s="69">
        <v>62068.085535999999</v>
      </c>
      <c r="G243" s="69">
        <v>40.753082990599999</v>
      </c>
    </row>
    <row r="244" spans="1:7" x14ac:dyDescent="0.15">
      <c r="A244" t="s">
        <v>354</v>
      </c>
      <c r="B244" s="69">
        <v>1037.2583999999999</v>
      </c>
      <c r="C244" s="69">
        <v>32.654600000000002</v>
      </c>
      <c r="D244" s="69">
        <v>37.5563</v>
      </c>
      <c r="E244" s="69">
        <v>39.104500000000002</v>
      </c>
      <c r="F244" s="69">
        <v>44656.770395</v>
      </c>
      <c r="G244" s="69">
        <v>35.144289970400003</v>
      </c>
    </row>
    <row r="245" spans="1:7" x14ac:dyDescent="0.15">
      <c r="A245" t="s">
        <v>355</v>
      </c>
      <c r="B245" s="69">
        <v>17528.464</v>
      </c>
      <c r="C245" s="69">
        <v>39.6569</v>
      </c>
      <c r="D245" s="69">
        <v>44.096600000000002</v>
      </c>
      <c r="E245" s="69">
        <v>45.569899999999997</v>
      </c>
      <c r="F245" s="69">
        <v>210203.37956299999</v>
      </c>
      <c r="G245" s="69">
        <v>86.052297830599997</v>
      </c>
    </row>
    <row r="246" spans="1:7" x14ac:dyDescent="0.15">
      <c r="A246" t="s">
        <v>356</v>
      </c>
      <c r="B246" s="69">
        <v>5627.3008</v>
      </c>
      <c r="C246" s="69">
        <v>37.738399999999999</v>
      </c>
      <c r="D246" s="69">
        <v>42.785400000000003</v>
      </c>
      <c r="E246" s="69">
        <v>43.487499999999997</v>
      </c>
      <c r="F246" s="69">
        <v>122173.772365</v>
      </c>
      <c r="G246" s="69">
        <v>62.928455114400002</v>
      </c>
    </row>
    <row r="247" spans="1:7" x14ac:dyDescent="0.15">
      <c r="A247" t="s">
        <v>357</v>
      </c>
      <c r="B247" s="69">
        <v>2677.1671999999999</v>
      </c>
      <c r="C247" s="69">
        <v>35.882199999999997</v>
      </c>
      <c r="D247" s="69">
        <v>41.6631</v>
      </c>
      <c r="E247" s="69">
        <v>41.901800000000001</v>
      </c>
      <c r="F247" s="69">
        <v>81051.115170000005</v>
      </c>
      <c r="G247" s="69">
        <v>52.774255990999997</v>
      </c>
    </row>
    <row r="248" spans="1:7" x14ac:dyDescent="0.15">
      <c r="A248" t="s">
        <v>358</v>
      </c>
      <c r="B248" s="69">
        <v>1391.9536000000001</v>
      </c>
      <c r="C248" s="69">
        <v>33.9039</v>
      </c>
      <c r="D248" s="69">
        <v>40.687100000000001</v>
      </c>
      <c r="E248" s="69">
        <v>40.509700000000002</v>
      </c>
      <c r="F248" s="69">
        <v>54459.982127900003</v>
      </c>
      <c r="G248" s="69">
        <v>44.639781236600001</v>
      </c>
    </row>
    <row r="249" spans="1:7" x14ac:dyDescent="0.15">
      <c r="A249" t="s">
        <v>359</v>
      </c>
      <c r="B249" s="69">
        <v>51949.1944</v>
      </c>
      <c r="C249" s="69">
        <v>38.421500000000002</v>
      </c>
      <c r="D249" s="69">
        <v>42.2273</v>
      </c>
      <c r="E249" s="69">
        <v>44.293700000000001</v>
      </c>
      <c r="F249" s="69">
        <v>174295.01285200001</v>
      </c>
      <c r="G249" s="69">
        <v>142.28664898900001</v>
      </c>
    </row>
    <row r="250" spans="1:7" x14ac:dyDescent="0.15">
      <c r="A250" t="s">
        <v>360</v>
      </c>
      <c r="B250" s="69">
        <v>6741.9327999999996</v>
      </c>
      <c r="C250" s="69">
        <v>35.552399999999999</v>
      </c>
      <c r="D250" s="69">
        <v>40.8294</v>
      </c>
      <c r="E250" s="69">
        <v>43.148400000000002</v>
      </c>
      <c r="F250" s="69">
        <v>76593.1730542</v>
      </c>
      <c r="G250" s="69">
        <v>68.093605041499998</v>
      </c>
    </row>
    <row r="251" spans="1:7" x14ac:dyDescent="0.15">
      <c r="A251" t="s">
        <v>361</v>
      </c>
      <c r="B251" s="69">
        <v>1723.7208000000001</v>
      </c>
      <c r="C251" s="69">
        <v>33.744</v>
      </c>
      <c r="D251" s="69">
        <v>39.635899999999999</v>
      </c>
      <c r="E251" s="69">
        <v>42.211599999999997</v>
      </c>
      <c r="F251" s="69">
        <v>43694.690124000001</v>
      </c>
      <c r="G251" s="69">
        <v>44.749900102600002</v>
      </c>
    </row>
    <row r="252" spans="1:7" x14ac:dyDescent="0.15">
      <c r="A252" t="s">
        <v>362</v>
      </c>
      <c r="B252" s="69">
        <v>658.66639999999995</v>
      </c>
      <c r="C252" s="69">
        <v>31.679300000000001</v>
      </c>
      <c r="D252" s="69">
        <v>38.7271</v>
      </c>
      <c r="E252" s="69">
        <v>41.509</v>
      </c>
      <c r="F252" s="69">
        <v>28592.942101000001</v>
      </c>
      <c r="G252" s="69">
        <v>33.801501989400002</v>
      </c>
    </row>
    <row r="253" spans="1:7" x14ac:dyDescent="0.15">
      <c r="A253" t="s">
        <v>363</v>
      </c>
      <c r="B253" s="69">
        <v>3194.5688</v>
      </c>
      <c r="C253" s="69">
        <v>40.561900000000001</v>
      </c>
      <c r="D253" s="69">
        <v>43.375799999999998</v>
      </c>
      <c r="E253" s="69">
        <v>44.130499999999998</v>
      </c>
      <c r="F253" s="69">
        <v>30322.727500000001</v>
      </c>
      <c r="G253" s="69">
        <v>16.4811460972</v>
      </c>
    </row>
    <row r="254" spans="1:7" x14ac:dyDescent="0.15">
      <c r="A254" t="s">
        <v>364</v>
      </c>
      <c r="B254" s="69">
        <v>1463.6279999999999</v>
      </c>
      <c r="C254" s="69">
        <v>37.309800000000003</v>
      </c>
      <c r="D254" s="69">
        <v>40.921100000000003</v>
      </c>
      <c r="E254" s="69">
        <v>41.356999999999999</v>
      </c>
      <c r="F254" s="69">
        <v>23168.112894999998</v>
      </c>
      <c r="G254" s="69">
        <v>11.3894600868</v>
      </c>
    </row>
    <row r="255" spans="1:7" x14ac:dyDescent="0.15">
      <c r="A255" t="s">
        <v>365</v>
      </c>
      <c r="B255" s="69">
        <v>727.66560000000004</v>
      </c>
      <c r="C255" s="69">
        <v>34.542999999999999</v>
      </c>
      <c r="D255" s="69">
        <v>39.091099999999997</v>
      </c>
      <c r="E255" s="69">
        <v>39.429200000000002</v>
      </c>
      <c r="F255" s="69">
        <v>16778.835994000001</v>
      </c>
      <c r="G255" s="69">
        <v>9.3631670474999993</v>
      </c>
    </row>
    <row r="256" spans="1:7" x14ac:dyDescent="0.15">
      <c r="A256" t="s">
        <v>366</v>
      </c>
      <c r="B256" s="69">
        <v>383.65839999999997</v>
      </c>
      <c r="C256" s="69">
        <v>32.181100000000001</v>
      </c>
      <c r="D256" s="69">
        <v>37.4422</v>
      </c>
      <c r="E256" s="69">
        <v>37.688800000000001</v>
      </c>
      <c r="F256" s="69">
        <v>12368.239822899999</v>
      </c>
      <c r="G256" s="69">
        <v>7.5155479908</v>
      </c>
    </row>
    <row r="257" spans="1:7" x14ac:dyDescent="0.15">
      <c r="A257" t="s">
        <v>367</v>
      </c>
      <c r="B257" s="69">
        <v>3660.2656000000002</v>
      </c>
      <c r="C257" s="69">
        <v>40.444899999999997</v>
      </c>
      <c r="D257" s="69">
        <v>43.528700000000001</v>
      </c>
      <c r="E257" s="69">
        <v>45.007800000000003</v>
      </c>
      <c r="F257" s="69">
        <v>27215.469321</v>
      </c>
      <c r="G257" s="69">
        <v>18.415597915599999</v>
      </c>
    </row>
    <row r="258" spans="1:7" x14ac:dyDescent="0.15">
      <c r="A258" t="s">
        <v>368</v>
      </c>
      <c r="B258" s="69">
        <v>1608.0175999999999</v>
      </c>
      <c r="C258" s="69">
        <v>37.510399999999997</v>
      </c>
      <c r="D258" s="69">
        <v>41.419800000000002</v>
      </c>
      <c r="E258" s="69">
        <v>42.571399999999997</v>
      </c>
      <c r="F258" s="69">
        <v>19046.198294900001</v>
      </c>
      <c r="G258" s="69">
        <v>13.021886825599999</v>
      </c>
    </row>
    <row r="259" spans="1:7" x14ac:dyDescent="0.15">
      <c r="A259" t="s">
        <v>369</v>
      </c>
      <c r="B259" s="69">
        <v>793.64400000000001</v>
      </c>
      <c r="C259" s="69">
        <v>34.570599999999999</v>
      </c>
      <c r="D259" s="69">
        <v>39.781199999999998</v>
      </c>
      <c r="E259" s="69">
        <v>40.743000000000002</v>
      </c>
      <c r="F259" s="69">
        <v>14204.4644921</v>
      </c>
      <c r="G259" s="69">
        <v>10.437771081899999</v>
      </c>
    </row>
    <row r="260" spans="1:7" x14ac:dyDescent="0.15">
      <c r="A260" t="s">
        <v>370</v>
      </c>
      <c r="B260" s="69">
        <v>406.60640000000001</v>
      </c>
      <c r="C260" s="69">
        <v>31.706800000000001</v>
      </c>
      <c r="D260" s="69">
        <v>38.5</v>
      </c>
      <c r="E260" s="69">
        <v>39.409100000000002</v>
      </c>
      <c r="F260" s="69">
        <v>10816.7906349</v>
      </c>
      <c r="G260" s="69">
        <v>8.1159651279399991</v>
      </c>
    </row>
    <row r="261" spans="1:7" x14ac:dyDescent="0.15">
      <c r="A261" t="s">
        <v>371</v>
      </c>
      <c r="B261" s="69">
        <v>6989.9567999999999</v>
      </c>
      <c r="C261" s="69">
        <v>38.6402</v>
      </c>
      <c r="D261" s="69">
        <v>41.487000000000002</v>
      </c>
      <c r="E261" s="69">
        <v>42.426600000000001</v>
      </c>
      <c r="F261" s="69">
        <v>31826.735527000001</v>
      </c>
      <c r="G261" s="69">
        <v>23.8525168896</v>
      </c>
    </row>
    <row r="262" spans="1:7" x14ac:dyDescent="0.15">
      <c r="A262" t="s">
        <v>372</v>
      </c>
      <c r="B262" s="69">
        <v>2897.74</v>
      </c>
      <c r="C262" s="69">
        <v>34.671999999999997</v>
      </c>
      <c r="D262" s="69">
        <v>38.633099999999999</v>
      </c>
      <c r="E262" s="69">
        <v>39.4621</v>
      </c>
      <c r="F262" s="69">
        <v>21102.0744581</v>
      </c>
      <c r="G262" s="69">
        <v>16.244644165</v>
      </c>
    </row>
    <row r="263" spans="1:7" x14ac:dyDescent="0.15">
      <c r="A263" t="s">
        <v>373</v>
      </c>
      <c r="B263" s="69">
        <v>1297.5648000000001</v>
      </c>
      <c r="C263" s="69">
        <v>31.211300000000001</v>
      </c>
      <c r="D263" s="69">
        <v>36.734299999999998</v>
      </c>
      <c r="E263" s="69">
        <v>37.514800000000001</v>
      </c>
      <c r="F263" s="69">
        <v>14926.313147999999</v>
      </c>
      <c r="G263" s="69">
        <v>12.451838970200001</v>
      </c>
    </row>
    <row r="264" spans="1:7" x14ac:dyDescent="0.15">
      <c r="A264" t="s">
        <v>374</v>
      </c>
      <c r="B264" s="69">
        <v>564.55439999999999</v>
      </c>
      <c r="C264" s="69">
        <v>28.014600000000002</v>
      </c>
      <c r="D264" s="69">
        <v>35.372300000000003</v>
      </c>
      <c r="E264" s="69">
        <v>36.126300000000001</v>
      </c>
      <c r="F264" s="69">
        <v>11176.655787899999</v>
      </c>
      <c r="G264" s="69">
        <v>9.5409090518999999</v>
      </c>
    </row>
    <row r="265" spans="1:7" x14ac:dyDescent="0.15">
      <c r="A265" t="s">
        <v>375</v>
      </c>
      <c r="B265">
        <v>5195.1008000000002</v>
      </c>
      <c r="C265">
        <v>40.140999999999998</v>
      </c>
      <c r="D265">
        <v>41.728900000000003</v>
      </c>
      <c r="E265">
        <v>43.052100000000003</v>
      </c>
      <c r="F265">
        <v>26430.379199999999</v>
      </c>
      <c r="G265">
        <v>13.808934926999999</v>
      </c>
    </row>
    <row r="266" spans="1:7" x14ac:dyDescent="0.15">
      <c r="A266" t="s">
        <v>376</v>
      </c>
      <c r="B266">
        <v>1980.0175999999999</v>
      </c>
      <c r="C266">
        <v>36.362499999999997</v>
      </c>
      <c r="D266">
        <v>39.037199999999999</v>
      </c>
      <c r="E266">
        <v>40.657200000000003</v>
      </c>
      <c r="F266">
        <v>16830.2409592</v>
      </c>
      <c r="G266">
        <v>9.8127219676999999</v>
      </c>
    </row>
    <row r="267" spans="1:7" x14ac:dyDescent="0.15">
      <c r="A267" t="s">
        <v>377</v>
      </c>
      <c r="B267">
        <v>899.7568</v>
      </c>
      <c r="C267">
        <v>33.309600000000003</v>
      </c>
      <c r="D267">
        <v>37.274900000000002</v>
      </c>
      <c r="E267">
        <v>39.087200000000003</v>
      </c>
      <c r="F267">
        <v>12898.338383</v>
      </c>
      <c r="G267">
        <v>7.7162249088300001</v>
      </c>
    </row>
    <row r="268" spans="1:7" x14ac:dyDescent="0.15">
      <c r="A268" t="s">
        <v>378</v>
      </c>
      <c r="B268">
        <v>415.9504</v>
      </c>
      <c r="C268">
        <v>30.48</v>
      </c>
      <c r="D268">
        <v>36.055999999999997</v>
      </c>
      <c r="E268">
        <v>37.857399999999998</v>
      </c>
      <c r="F268">
        <v>9422.1739990700007</v>
      </c>
      <c r="G268">
        <v>5.9862549305000003</v>
      </c>
    </row>
    <row r="269" spans="1:7" x14ac:dyDescent="0.15">
      <c r="A269" t="s">
        <v>379</v>
      </c>
      <c r="B269">
        <v>1525.2095999999999</v>
      </c>
      <c r="C269">
        <v>41.300899999999999</v>
      </c>
      <c r="D269">
        <v>44.218600000000002</v>
      </c>
      <c r="E269">
        <v>43.665300000000002</v>
      </c>
      <c r="F269">
        <v>7837.2831640200002</v>
      </c>
      <c r="G269">
        <v>4.8964700698900003</v>
      </c>
    </row>
    <row r="270" spans="1:7" x14ac:dyDescent="0.15">
      <c r="A270" t="s">
        <v>380</v>
      </c>
      <c r="B270">
        <v>742.49760000000003</v>
      </c>
      <c r="C270">
        <v>37.225700000000003</v>
      </c>
      <c r="D270">
        <v>41.408700000000003</v>
      </c>
      <c r="E270">
        <v>40.4133</v>
      </c>
      <c r="F270">
        <v>5829.19623899</v>
      </c>
      <c r="G270">
        <v>3.6227040290799999</v>
      </c>
    </row>
    <row r="271" spans="1:7" x14ac:dyDescent="0.15">
      <c r="A271" t="s">
        <v>381</v>
      </c>
      <c r="B271">
        <v>376.63119999999998</v>
      </c>
      <c r="C271">
        <v>33.793500000000002</v>
      </c>
      <c r="D271">
        <v>39.5867</v>
      </c>
      <c r="E271">
        <v>38.376399999999997</v>
      </c>
      <c r="F271">
        <v>4633.4363360400002</v>
      </c>
      <c r="G271">
        <v>2.7023921012900001</v>
      </c>
    </row>
    <row r="272" spans="1:7" x14ac:dyDescent="0.15">
      <c r="A272" t="s">
        <v>382</v>
      </c>
      <c r="B272">
        <v>195.47280000000001</v>
      </c>
      <c r="C272">
        <v>30.914000000000001</v>
      </c>
      <c r="D272">
        <v>38.069499999999998</v>
      </c>
      <c r="E272">
        <v>36.642099999999999</v>
      </c>
      <c r="F272">
        <v>3393.2091000099999</v>
      </c>
      <c r="G272">
        <v>2.0886118412000001</v>
      </c>
    </row>
    <row r="273" spans="1:7" x14ac:dyDescent="0.15">
      <c r="A273" t="s">
        <v>383</v>
      </c>
      <c r="B273">
        <v>1916.8624</v>
      </c>
      <c r="C273">
        <v>38.619399999999999</v>
      </c>
      <c r="D273">
        <v>42.884799999999998</v>
      </c>
      <c r="E273">
        <v>44.017899999999997</v>
      </c>
      <c r="F273">
        <v>7243.5487680400001</v>
      </c>
      <c r="G273">
        <v>6.4523260593399998</v>
      </c>
    </row>
    <row r="274" spans="1:7" x14ac:dyDescent="0.15">
      <c r="A274" t="s">
        <v>384</v>
      </c>
      <c r="B274">
        <v>640.73599999999999</v>
      </c>
      <c r="C274">
        <v>34.764600000000002</v>
      </c>
      <c r="D274">
        <v>40.785600000000002</v>
      </c>
      <c r="E274">
        <v>41.880899999999997</v>
      </c>
      <c r="F274">
        <v>4455.4005131699996</v>
      </c>
      <c r="G274">
        <v>4.2818410396599997</v>
      </c>
    </row>
    <row r="275" spans="1:7" x14ac:dyDescent="0.15">
      <c r="A275" t="s">
        <v>385</v>
      </c>
      <c r="B275">
        <v>245.05359999999999</v>
      </c>
      <c r="C275">
        <v>31.5411</v>
      </c>
      <c r="D275">
        <v>39.413899999999998</v>
      </c>
      <c r="E275">
        <v>40.359099999999998</v>
      </c>
      <c r="F275">
        <v>2649.7662611000001</v>
      </c>
      <c r="G275">
        <v>3.3538670539900002</v>
      </c>
    </row>
    <row r="276" spans="1:7" x14ac:dyDescent="0.15">
      <c r="A276" t="s">
        <v>386</v>
      </c>
      <c r="B276">
        <v>100.172</v>
      </c>
      <c r="C276">
        <v>28.5837</v>
      </c>
      <c r="D276">
        <v>38.627299999999998</v>
      </c>
      <c r="E276">
        <v>39.3202</v>
      </c>
      <c r="F276">
        <v>1870.7207958700001</v>
      </c>
      <c r="G276">
        <v>2.7240719795200001</v>
      </c>
    </row>
    <row r="277" spans="1:7" x14ac:dyDescent="0.15">
      <c r="A277" t="s">
        <v>387</v>
      </c>
      <c r="B277">
        <v>1721.1543999999999</v>
      </c>
      <c r="C277">
        <v>38.365699999999997</v>
      </c>
      <c r="D277">
        <v>41.106099999999998</v>
      </c>
      <c r="E277">
        <v>41.862499999999997</v>
      </c>
      <c r="F277">
        <v>6981.88792491</v>
      </c>
      <c r="G277">
        <v>5.46998715401</v>
      </c>
    </row>
    <row r="278" spans="1:7" x14ac:dyDescent="0.15">
      <c r="A278" t="s">
        <v>388</v>
      </c>
      <c r="B278">
        <v>711.5616</v>
      </c>
      <c r="C278">
        <v>34.457700000000003</v>
      </c>
      <c r="D278">
        <v>38.311700000000002</v>
      </c>
      <c r="E278">
        <v>38.8718</v>
      </c>
      <c r="F278">
        <v>4669.7026710500004</v>
      </c>
      <c r="G278">
        <v>3.5421669483199998</v>
      </c>
    </row>
    <row r="279" spans="1:7" x14ac:dyDescent="0.15">
      <c r="A279" t="s">
        <v>389</v>
      </c>
      <c r="B279">
        <v>312.00319999999999</v>
      </c>
      <c r="C279">
        <v>31.015799999999999</v>
      </c>
      <c r="D279">
        <v>36.335500000000003</v>
      </c>
      <c r="E279">
        <v>36.843800000000002</v>
      </c>
      <c r="F279">
        <v>3299.0266721200001</v>
      </c>
      <c r="G279">
        <v>2.4884967804000002</v>
      </c>
    </row>
    <row r="280" spans="1:7" x14ac:dyDescent="0.15">
      <c r="A280" t="s">
        <v>390</v>
      </c>
      <c r="B280">
        <v>135.96960000000001</v>
      </c>
      <c r="C280">
        <v>28.009399999999999</v>
      </c>
      <c r="D280">
        <v>34.888199999999998</v>
      </c>
      <c r="E280">
        <v>35.460599999999999</v>
      </c>
      <c r="F280">
        <v>2457.3249659500002</v>
      </c>
      <c r="G280">
        <v>1.8723118305199999</v>
      </c>
    </row>
    <row r="281" spans="1:7" x14ac:dyDescent="0.15">
      <c r="A281" t="s">
        <v>391</v>
      </c>
      <c r="B281">
        <v>1199.9087999999999</v>
      </c>
      <c r="C281">
        <v>40.275300000000001</v>
      </c>
      <c r="D281">
        <v>41.592199999999998</v>
      </c>
      <c r="E281">
        <v>42.629100000000001</v>
      </c>
      <c r="F281">
        <v>5705.3266930600003</v>
      </c>
      <c r="G281">
        <v>3.5669090747799999</v>
      </c>
    </row>
    <row r="282" spans="1:7" x14ac:dyDescent="0.15">
      <c r="A282" t="s">
        <v>392</v>
      </c>
      <c r="B282">
        <v>560.06719999999996</v>
      </c>
      <c r="C282">
        <v>36.006500000000003</v>
      </c>
      <c r="D282">
        <v>38.648600000000002</v>
      </c>
      <c r="E282">
        <v>39.8476</v>
      </c>
      <c r="F282">
        <v>4046.96927714</v>
      </c>
      <c r="G282">
        <v>2.59493613243</v>
      </c>
    </row>
    <row r="283" spans="1:7" x14ac:dyDescent="0.15">
      <c r="A283" t="s">
        <v>393</v>
      </c>
      <c r="B283">
        <v>273.54399999999998</v>
      </c>
      <c r="C283">
        <v>32.441499999999998</v>
      </c>
      <c r="D283">
        <v>36.851799999999997</v>
      </c>
      <c r="E283">
        <v>38.013500000000001</v>
      </c>
      <c r="F283">
        <v>3068.1624729599998</v>
      </c>
      <c r="G283">
        <v>1.93575811386</v>
      </c>
    </row>
    <row r="284" spans="1:7" x14ac:dyDescent="0.15">
      <c r="A284" t="s">
        <v>394</v>
      </c>
      <c r="B284">
        <v>133.7424</v>
      </c>
      <c r="C284">
        <v>29.581800000000001</v>
      </c>
      <c r="D284">
        <v>35.475900000000003</v>
      </c>
      <c r="E284">
        <v>36.520600000000002</v>
      </c>
      <c r="F284">
        <v>2197.4452550400001</v>
      </c>
      <c r="G284">
        <v>1.4712448120099999</v>
      </c>
    </row>
    <row r="285" spans="1:7" x14ac:dyDescent="0.15">
      <c r="A285" t="s">
        <v>395</v>
      </c>
      <c r="B285">
        <v>2011.192</v>
      </c>
      <c r="C285">
        <v>42.954099999999997</v>
      </c>
      <c r="D285">
        <v>46.877400000000002</v>
      </c>
      <c r="E285">
        <v>48.196599999999997</v>
      </c>
      <c r="F285">
        <v>31368.636343999999</v>
      </c>
      <c r="G285">
        <v>25.812074899700001</v>
      </c>
    </row>
    <row r="286" spans="1:7" x14ac:dyDescent="0.15">
      <c r="A286" t="s">
        <v>396</v>
      </c>
      <c r="B286">
        <v>749.95920000000001</v>
      </c>
      <c r="C286">
        <v>40.613199999999999</v>
      </c>
      <c r="D286">
        <v>44.886499999999998</v>
      </c>
      <c r="E286">
        <v>46.220799999999997</v>
      </c>
      <c r="F286">
        <v>20282.735944</v>
      </c>
      <c r="G286">
        <v>17.813694000200002</v>
      </c>
    </row>
    <row r="287" spans="1:7" x14ac:dyDescent="0.15">
      <c r="A287" t="s">
        <v>397</v>
      </c>
      <c r="B287">
        <v>372.28</v>
      </c>
      <c r="C287">
        <v>38.0471</v>
      </c>
      <c r="D287">
        <v>43.286700000000003</v>
      </c>
      <c r="E287">
        <v>44.596699999999998</v>
      </c>
      <c r="F287">
        <v>14433.256223</v>
      </c>
      <c r="G287">
        <v>14.423439979599999</v>
      </c>
    </row>
    <row r="288" spans="1:7" x14ac:dyDescent="0.15">
      <c r="A288" t="s">
        <v>398</v>
      </c>
      <c r="B288">
        <v>196.66560000000001</v>
      </c>
      <c r="C288">
        <v>35.2271</v>
      </c>
      <c r="D288">
        <v>41.906300000000002</v>
      </c>
      <c r="E288">
        <v>43.140799999999999</v>
      </c>
      <c r="F288">
        <v>10922.607595900001</v>
      </c>
      <c r="G288">
        <v>11.4038929939</v>
      </c>
    </row>
    <row r="289" spans="1:7" x14ac:dyDescent="0.15">
      <c r="A289" t="s">
        <v>399</v>
      </c>
      <c r="B289">
        <v>1386.8248000000001</v>
      </c>
      <c r="C289">
        <v>43.303199999999997</v>
      </c>
      <c r="D289">
        <v>48.495699999999999</v>
      </c>
      <c r="E289">
        <v>49.1556</v>
      </c>
      <c r="F289">
        <v>27595.364308100001</v>
      </c>
      <c r="G289">
        <v>20.951756000500001</v>
      </c>
    </row>
    <row r="290" spans="1:7" x14ac:dyDescent="0.15">
      <c r="A290" t="s">
        <v>400</v>
      </c>
      <c r="B290">
        <v>349.22719999999998</v>
      </c>
      <c r="C290">
        <v>41.497399999999999</v>
      </c>
      <c r="D290">
        <v>46.877800000000001</v>
      </c>
      <c r="E290">
        <v>47.551900000000003</v>
      </c>
      <c r="F290">
        <v>15326.7066939</v>
      </c>
      <c r="G290">
        <v>15.8167600632</v>
      </c>
    </row>
    <row r="291" spans="1:7" x14ac:dyDescent="0.15">
      <c r="A291" t="s">
        <v>401</v>
      </c>
      <c r="B291">
        <v>155.75839999999999</v>
      </c>
      <c r="C291">
        <v>39.5092</v>
      </c>
      <c r="D291">
        <v>45.241700000000002</v>
      </c>
      <c r="E291">
        <v>46.0321</v>
      </c>
      <c r="F291">
        <v>10272.0326362</v>
      </c>
      <c r="G291">
        <v>12.802968978899999</v>
      </c>
    </row>
    <row r="292" spans="1:7" x14ac:dyDescent="0.15">
      <c r="A292" t="s">
        <v>402</v>
      </c>
      <c r="B292">
        <v>82.589600000000004</v>
      </c>
      <c r="C292">
        <v>37.146799999999999</v>
      </c>
      <c r="D292">
        <v>44.023200000000003</v>
      </c>
      <c r="E292">
        <v>44.547899999999998</v>
      </c>
      <c r="F292">
        <v>6846.8802340000002</v>
      </c>
      <c r="G292">
        <v>11.558501958800001</v>
      </c>
    </row>
    <row r="293" spans="1:7" x14ac:dyDescent="0.15">
      <c r="A293" t="s">
        <v>403</v>
      </c>
      <c r="B293">
        <v>1803.3352</v>
      </c>
      <c r="C293">
        <v>43.623600000000003</v>
      </c>
      <c r="D293">
        <v>47.72</v>
      </c>
      <c r="E293">
        <v>48.684800000000003</v>
      </c>
      <c r="F293">
        <v>34567.508631899997</v>
      </c>
      <c r="G293">
        <v>25.7173409462</v>
      </c>
    </row>
    <row r="294" spans="1:7" x14ac:dyDescent="0.15">
      <c r="A294" t="s">
        <v>404</v>
      </c>
      <c r="B294">
        <v>596.31039999999996</v>
      </c>
      <c r="C294">
        <v>41.521999999999998</v>
      </c>
      <c r="D294">
        <v>45.813499999999998</v>
      </c>
      <c r="E294">
        <v>46.795000000000002</v>
      </c>
      <c r="F294">
        <v>20534.31106</v>
      </c>
      <c r="G294">
        <v>16.031351089499999</v>
      </c>
    </row>
    <row r="295" spans="1:7" x14ac:dyDescent="0.15">
      <c r="A295" t="s">
        <v>405</v>
      </c>
      <c r="B295">
        <v>266.7552</v>
      </c>
      <c r="C295">
        <v>39.234099999999998</v>
      </c>
      <c r="D295">
        <v>44.157299999999999</v>
      </c>
      <c r="E295">
        <v>45.217599999999997</v>
      </c>
      <c r="F295">
        <v>14467.8410568</v>
      </c>
      <c r="G295">
        <v>15.5886769295</v>
      </c>
    </row>
    <row r="296" spans="1:7" x14ac:dyDescent="0.15">
      <c r="A296" t="s">
        <v>406</v>
      </c>
      <c r="B296">
        <v>137.9248</v>
      </c>
      <c r="C296">
        <v>36.650599999999997</v>
      </c>
      <c r="D296">
        <v>42.9208</v>
      </c>
      <c r="E296">
        <v>44.014499999999998</v>
      </c>
      <c r="F296">
        <v>9689.0716600399992</v>
      </c>
      <c r="G296">
        <v>12.307090044000001</v>
      </c>
    </row>
    <row r="297" spans="1:7" x14ac:dyDescent="0.15">
      <c r="A297" t="s">
        <v>407</v>
      </c>
      <c r="B297">
        <v>3332.4512</v>
      </c>
      <c r="C297">
        <v>40.680700000000002</v>
      </c>
      <c r="D297">
        <v>43.221299999999999</v>
      </c>
      <c r="E297">
        <v>43.898699999999998</v>
      </c>
      <c r="F297">
        <v>28866.8709519</v>
      </c>
      <c r="G297">
        <v>16.1340680122</v>
      </c>
    </row>
    <row r="298" spans="1:7" x14ac:dyDescent="0.15">
      <c r="A298" t="s">
        <v>408</v>
      </c>
      <c r="B298">
        <v>1528.7744</v>
      </c>
      <c r="C298">
        <v>37.330500000000001</v>
      </c>
      <c r="D298">
        <v>40.499299999999998</v>
      </c>
      <c r="E298">
        <v>40.953099999999999</v>
      </c>
      <c r="F298">
        <v>22557.780600999999</v>
      </c>
      <c r="G298">
        <v>12.332900047300001</v>
      </c>
    </row>
    <row r="299" spans="1:7" x14ac:dyDescent="0.15">
      <c r="A299" t="s">
        <v>409</v>
      </c>
      <c r="B299">
        <v>767.96079999999995</v>
      </c>
      <c r="C299">
        <v>34.449100000000001</v>
      </c>
      <c r="D299">
        <v>38.415100000000002</v>
      </c>
      <c r="E299">
        <v>38.812800000000003</v>
      </c>
      <c r="F299">
        <v>16475.2651181</v>
      </c>
      <c r="G299">
        <v>9.2163000106799995</v>
      </c>
    </row>
    <row r="300" spans="1:7" x14ac:dyDescent="0.15">
      <c r="A300" t="s">
        <v>410</v>
      </c>
      <c r="B300">
        <v>408.58240000000001</v>
      </c>
      <c r="C300">
        <v>31.818000000000001</v>
      </c>
      <c r="D300">
        <v>36.763599999999997</v>
      </c>
      <c r="E300">
        <v>37.002299999999998</v>
      </c>
      <c r="F300">
        <v>12023.660809999999</v>
      </c>
      <c r="G300">
        <v>7.1932060718499997</v>
      </c>
    </row>
    <row r="301" spans="1:7" x14ac:dyDescent="0.15">
      <c r="A301" t="s">
        <v>411</v>
      </c>
      <c r="B301">
        <v>13283.044</v>
      </c>
      <c r="C301">
        <v>42.401400000000002</v>
      </c>
      <c r="D301">
        <v>44.273800000000001</v>
      </c>
      <c r="E301">
        <v>44.977400000000003</v>
      </c>
      <c r="F301">
        <v>101899.690854</v>
      </c>
      <c r="G301">
        <v>83.120177030600004</v>
      </c>
    </row>
    <row r="302" spans="1:7" x14ac:dyDescent="0.15">
      <c r="A302" t="s">
        <v>412</v>
      </c>
      <c r="B302">
        <v>5600.8104000000003</v>
      </c>
      <c r="C302">
        <v>38.941200000000002</v>
      </c>
      <c r="D302">
        <v>41.560400000000001</v>
      </c>
      <c r="E302">
        <v>42.040700000000001</v>
      </c>
      <c r="F302">
        <v>76987.414571999994</v>
      </c>
      <c r="G302">
        <v>59.931558847399998</v>
      </c>
    </row>
    <row r="303" spans="1:7" x14ac:dyDescent="0.15">
      <c r="A303" t="s">
        <v>413</v>
      </c>
      <c r="B303">
        <v>2610.9112</v>
      </c>
      <c r="C303">
        <v>35.9756</v>
      </c>
      <c r="D303">
        <v>39.607500000000002</v>
      </c>
      <c r="E303">
        <v>39.957099999999997</v>
      </c>
      <c r="F303">
        <v>60116.498023</v>
      </c>
      <c r="G303">
        <v>45.731465101200001</v>
      </c>
    </row>
    <row r="304" spans="1:7" x14ac:dyDescent="0.15">
      <c r="A304" t="s">
        <v>414</v>
      </c>
      <c r="B304">
        <v>1296.3807999999999</v>
      </c>
      <c r="C304">
        <v>33.276000000000003</v>
      </c>
      <c r="D304">
        <v>38.044800000000002</v>
      </c>
      <c r="E304">
        <v>38.223700000000001</v>
      </c>
      <c r="F304">
        <v>43104.482136999999</v>
      </c>
      <c r="G304">
        <v>35.702203988999997</v>
      </c>
    </row>
    <row r="305" spans="1:7" x14ac:dyDescent="0.15">
      <c r="A305" t="s">
        <v>415</v>
      </c>
      <c r="B305">
        <v>282.01760000000002</v>
      </c>
      <c r="C305">
        <v>47.384099999999997</v>
      </c>
      <c r="D305">
        <v>45.7254</v>
      </c>
      <c r="E305">
        <v>45.995600000000003</v>
      </c>
      <c r="F305">
        <v>3385.1698930299999</v>
      </c>
      <c r="G305">
        <v>4.6354241371200002</v>
      </c>
    </row>
    <row r="306" spans="1:7" x14ac:dyDescent="0.15">
      <c r="A306" t="s">
        <v>416</v>
      </c>
      <c r="B306">
        <v>209.2312</v>
      </c>
      <c r="C306">
        <v>43.103499999999997</v>
      </c>
      <c r="D306">
        <v>41.662399999999998</v>
      </c>
      <c r="E306">
        <v>42.099699999999999</v>
      </c>
      <c r="F306">
        <v>2976.3074960700001</v>
      </c>
      <c r="G306">
        <v>4.5917580127699997</v>
      </c>
    </row>
    <row r="307" spans="1:7" x14ac:dyDescent="0.15">
      <c r="A307" t="s">
        <v>417</v>
      </c>
      <c r="B307">
        <v>156.5112</v>
      </c>
      <c r="C307">
        <v>38.480400000000003</v>
      </c>
      <c r="D307">
        <v>39.4754</v>
      </c>
      <c r="E307">
        <v>40.063899999999997</v>
      </c>
      <c r="F307">
        <v>2897.4331319299999</v>
      </c>
      <c r="G307">
        <v>5.1038279533399997</v>
      </c>
    </row>
    <row r="308" spans="1:7" x14ac:dyDescent="0.15">
      <c r="A308" t="s">
        <v>418</v>
      </c>
      <c r="B308">
        <v>112.1224</v>
      </c>
      <c r="C308">
        <v>33.596600000000002</v>
      </c>
      <c r="D308">
        <v>38.323300000000003</v>
      </c>
      <c r="E308">
        <v>38.837800000000001</v>
      </c>
      <c r="F308">
        <v>2717.5519759700001</v>
      </c>
      <c r="G308">
        <v>4.81632804871</v>
      </c>
    </row>
    <row r="309" spans="1:7" x14ac:dyDescent="0.15">
      <c r="A309" t="s">
        <v>419</v>
      </c>
      <c r="B309">
        <v>564.70590000000004</v>
      </c>
      <c r="C309">
        <v>49.424799999999998</v>
      </c>
      <c r="D309">
        <v>52.9621</v>
      </c>
      <c r="E309">
        <v>53.950200000000002</v>
      </c>
      <c r="F309">
        <v>13951.753572899999</v>
      </c>
      <c r="G309">
        <v>12.9911651611</v>
      </c>
    </row>
    <row r="310" spans="1:7" x14ac:dyDescent="0.15">
      <c r="A310" t="s">
        <v>420</v>
      </c>
      <c r="B310">
        <v>309.86369999999999</v>
      </c>
      <c r="C310">
        <v>45.429000000000002</v>
      </c>
      <c r="D310">
        <v>49.783000000000001</v>
      </c>
      <c r="E310">
        <v>50.926200000000001</v>
      </c>
      <c r="F310">
        <v>12309.988955000001</v>
      </c>
      <c r="G310">
        <v>12.5429909229</v>
      </c>
    </row>
    <row r="311" spans="1:7" x14ac:dyDescent="0.15">
      <c r="A311" t="s">
        <v>421</v>
      </c>
      <c r="B311">
        <v>176.86019999999999</v>
      </c>
      <c r="C311">
        <v>41.684199999999997</v>
      </c>
      <c r="D311">
        <v>47.393300000000004</v>
      </c>
      <c r="E311">
        <v>48.4559</v>
      </c>
      <c r="F311">
        <v>10090.980867099999</v>
      </c>
      <c r="G311">
        <v>11.503205060999999</v>
      </c>
    </row>
    <row r="312" spans="1:7" x14ac:dyDescent="0.15">
      <c r="A312" t="s">
        <v>422</v>
      </c>
      <c r="B312">
        <v>106.7658</v>
      </c>
      <c r="C312">
        <v>37.966299999999997</v>
      </c>
      <c r="D312">
        <v>45.310899999999997</v>
      </c>
      <c r="E312">
        <v>47.1417</v>
      </c>
      <c r="F312">
        <v>8352.0299129499999</v>
      </c>
      <c r="G312">
        <v>11.4366030693</v>
      </c>
    </row>
    <row r="313" spans="1:7" x14ac:dyDescent="0.15">
      <c r="A313" t="s">
        <v>423</v>
      </c>
    </row>
    <row r="314" spans="1:7" x14ac:dyDescent="0.15">
      <c r="A314" t="s">
        <v>424</v>
      </c>
    </row>
    <row r="315" spans="1:7" x14ac:dyDescent="0.15">
      <c r="A315" t="s">
        <v>425</v>
      </c>
    </row>
    <row r="316" spans="1:7" x14ac:dyDescent="0.15">
      <c r="A316" t="s">
        <v>426</v>
      </c>
    </row>
    <row r="317" spans="1:7" x14ac:dyDescent="0.15">
      <c r="A317" t="s">
        <v>427</v>
      </c>
    </row>
    <row r="318" spans="1:7" x14ac:dyDescent="0.15">
      <c r="A318" t="s">
        <v>428</v>
      </c>
    </row>
    <row r="319" spans="1:7" x14ac:dyDescent="0.15">
      <c r="A319" t="s">
        <v>429</v>
      </c>
    </row>
    <row r="320" spans="1:7" x14ac:dyDescent="0.15">
      <c r="A320" t="s">
        <v>430</v>
      </c>
    </row>
    <row r="321" spans="1:1" x14ac:dyDescent="0.15">
      <c r="A321" t="s">
        <v>431</v>
      </c>
    </row>
    <row r="322" spans="1:1" x14ac:dyDescent="0.15">
      <c r="A322" t="s">
        <v>432</v>
      </c>
    </row>
    <row r="323" spans="1:1" x14ac:dyDescent="0.15">
      <c r="A323" t="s">
        <v>433</v>
      </c>
    </row>
    <row r="324" spans="1:1" x14ac:dyDescent="0.15">
      <c r="A324" t="s">
        <v>434</v>
      </c>
    </row>
    <row r="325" spans="1:1" x14ac:dyDescent="0.15">
      <c r="A325" t="s">
        <v>435</v>
      </c>
    </row>
    <row r="326" spans="1:1" x14ac:dyDescent="0.15">
      <c r="A326" t="s">
        <v>436</v>
      </c>
    </row>
    <row r="327" spans="1:1" x14ac:dyDescent="0.15">
      <c r="A327" t="s">
        <v>437</v>
      </c>
    </row>
    <row r="328" spans="1:1" x14ac:dyDescent="0.15">
      <c r="A328" t="s">
        <v>438</v>
      </c>
    </row>
    <row r="329" spans="1:1" x14ac:dyDescent="0.15">
      <c r="A329" t="s">
        <v>439</v>
      </c>
    </row>
    <row r="330" spans="1:1" x14ac:dyDescent="0.15">
      <c r="A330" t="s">
        <v>440</v>
      </c>
    </row>
    <row r="331" spans="1:1" x14ac:dyDescent="0.15">
      <c r="A331" t="s">
        <v>441</v>
      </c>
    </row>
    <row r="332" spans="1:1" x14ac:dyDescent="0.15">
      <c r="A332" t="s">
        <v>442</v>
      </c>
    </row>
    <row r="333" spans="1:1" x14ac:dyDescent="0.15">
      <c r="A333" t="s">
        <v>443</v>
      </c>
    </row>
    <row r="334" spans="1:1" x14ac:dyDescent="0.15">
      <c r="A334" t="s">
        <v>444</v>
      </c>
    </row>
    <row r="335" spans="1:1" x14ac:dyDescent="0.15">
      <c r="A335" t="s">
        <v>445</v>
      </c>
    </row>
    <row r="336" spans="1:1" x14ac:dyDescent="0.15">
      <c r="A336" t="s">
        <v>442</v>
      </c>
    </row>
    <row r="337" spans="1:7" x14ac:dyDescent="0.15">
      <c r="A337" t="s">
        <v>446</v>
      </c>
      <c r="B337">
        <v>19117.3056</v>
      </c>
      <c r="C337">
        <v>40.992699999999999</v>
      </c>
      <c r="D337">
        <v>44.010800000000003</v>
      </c>
      <c r="E337">
        <v>44.736600000000003</v>
      </c>
      <c r="F337">
        <v>148810.74208600001</v>
      </c>
      <c r="G337">
        <v>95.378373861300005</v>
      </c>
    </row>
    <row r="338" spans="1:7" x14ac:dyDescent="0.15">
      <c r="A338" t="s">
        <v>447</v>
      </c>
      <c r="B338">
        <v>6895.2456000000002</v>
      </c>
      <c r="C338">
        <v>38.545299999999997</v>
      </c>
      <c r="D338">
        <v>42.159199999999998</v>
      </c>
      <c r="E338">
        <v>43.064900000000002</v>
      </c>
      <c r="F338">
        <v>77133.513851199998</v>
      </c>
      <c r="G338">
        <v>72.9695179462</v>
      </c>
    </row>
    <row r="339" spans="1:7" x14ac:dyDescent="0.15">
      <c r="A339" t="s">
        <v>448</v>
      </c>
      <c r="B339">
        <v>3050.2015999999999</v>
      </c>
      <c r="C339">
        <v>36.137900000000002</v>
      </c>
      <c r="D339">
        <v>40.759900000000002</v>
      </c>
      <c r="E339">
        <v>41.712000000000003</v>
      </c>
      <c r="F339">
        <v>50770.573788900001</v>
      </c>
      <c r="G339">
        <v>60.262130975700003</v>
      </c>
    </row>
    <row r="340" spans="1:7" x14ac:dyDescent="0.15">
      <c r="A340" t="s">
        <v>449</v>
      </c>
      <c r="B340">
        <v>1370.6464000000001</v>
      </c>
      <c r="C340">
        <v>33.701900000000002</v>
      </c>
      <c r="D340">
        <v>39.765700000000002</v>
      </c>
      <c r="E340">
        <v>40.6845</v>
      </c>
      <c r="F340">
        <v>34811.770901900003</v>
      </c>
      <c r="G340">
        <v>49.5263080597</v>
      </c>
    </row>
    <row r="341" spans="1:7" x14ac:dyDescent="0.15">
      <c r="A341" t="s">
        <v>450</v>
      </c>
      <c r="B341">
        <v>11337.880800000001</v>
      </c>
      <c r="C341">
        <v>44.246200000000002</v>
      </c>
      <c r="D341">
        <v>47.064799999999998</v>
      </c>
      <c r="E341">
        <v>47.799300000000002</v>
      </c>
      <c r="F341">
        <v>135790.91278000001</v>
      </c>
      <c r="G341">
        <v>85.890425920499993</v>
      </c>
    </row>
    <row r="342" spans="1:7" x14ac:dyDescent="0.15">
      <c r="A342" t="s">
        <v>451</v>
      </c>
      <c r="B342">
        <v>5620.8352000000004</v>
      </c>
      <c r="C342">
        <v>40.978999999999999</v>
      </c>
      <c r="D342">
        <v>44.703400000000002</v>
      </c>
      <c r="E342">
        <v>45.237400000000001</v>
      </c>
      <c r="F342">
        <v>90216.226850000006</v>
      </c>
      <c r="G342">
        <v>72.5067269802</v>
      </c>
    </row>
    <row r="343" spans="1:7" x14ac:dyDescent="0.15">
      <c r="A343" t="s">
        <v>452</v>
      </c>
      <c r="B343">
        <v>2971.6792</v>
      </c>
      <c r="C343">
        <v>37.8626</v>
      </c>
      <c r="D343">
        <v>43.126199999999997</v>
      </c>
      <c r="E343">
        <v>43.484900000000003</v>
      </c>
      <c r="F343">
        <v>67046.744381900004</v>
      </c>
      <c r="G343">
        <v>64.312632083899999</v>
      </c>
    </row>
    <row r="344" spans="1:7" x14ac:dyDescent="0.15">
      <c r="A344" t="s">
        <v>453</v>
      </c>
      <c r="B344">
        <v>1612.2472</v>
      </c>
      <c r="C344">
        <v>35.031500000000001</v>
      </c>
      <c r="D344">
        <v>42.022300000000001</v>
      </c>
      <c r="E344">
        <v>42.168300000000002</v>
      </c>
      <c r="F344">
        <v>46019.786629900002</v>
      </c>
      <c r="G344">
        <v>52.762517929099999</v>
      </c>
    </row>
    <row r="345" spans="1:7" x14ac:dyDescent="0.15">
      <c r="A345" t="s">
        <v>454</v>
      </c>
      <c r="B345">
        <v>20808.447199999999</v>
      </c>
      <c r="C345">
        <v>38.856400000000001</v>
      </c>
      <c r="D345">
        <v>40.371099999999998</v>
      </c>
      <c r="E345">
        <v>43.560200000000002</v>
      </c>
      <c r="F345">
        <v>119641.404261</v>
      </c>
      <c r="G345">
        <v>84.386520862599994</v>
      </c>
    </row>
    <row r="346" spans="1:7" x14ac:dyDescent="0.15">
      <c r="A346" t="s">
        <v>455</v>
      </c>
      <c r="B346">
        <v>4950.6647999999996</v>
      </c>
      <c r="C346">
        <v>36.869100000000003</v>
      </c>
      <c r="D346">
        <v>39.113100000000003</v>
      </c>
      <c r="E346">
        <v>41.7898</v>
      </c>
      <c r="F346">
        <v>67069.831816000005</v>
      </c>
      <c r="G346">
        <v>53.053350925399997</v>
      </c>
    </row>
    <row r="347" spans="1:7" x14ac:dyDescent="0.15">
      <c r="A347" t="s">
        <v>456</v>
      </c>
      <c r="B347">
        <v>2182.4863999999998</v>
      </c>
      <c r="C347">
        <v>34.835099999999997</v>
      </c>
      <c r="D347">
        <v>38.277999999999999</v>
      </c>
      <c r="E347">
        <v>40.316099999999999</v>
      </c>
      <c r="F347">
        <v>44718.550309899998</v>
      </c>
      <c r="G347">
        <v>41.7299361229</v>
      </c>
    </row>
    <row r="348" spans="1:7" x14ac:dyDescent="0.15">
      <c r="A348" t="s">
        <v>457</v>
      </c>
      <c r="B348">
        <v>1062.7</v>
      </c>
      <c r="C348">
        <v>32.633499999999998</v>
      </c>
      <c r="D348">
        <v>37.556600000000003</v>
      </c>
      <c r="E348">
        <v>39.108400000000003</v>
      </c>
      <c r="F348">
        <v>30299.0261641</v>
      </c>
      <c r="G348">
        <v>35.211422204999998</v>
      </c>
    </row>
    <row r="349" spans="1:7" x14ac:dyDescent="0.15">
      <c r="A349" t="s">
        <v>458</v>
      </c>
      <c r="B349">
        <v>18516.0376</v>
      </c>
      <c r="C349">
        <v>39.627200000000002</v>
      </c>
      <c r="D349">
        <v>44.042499999999997</v>
      </c>
      <c r="E349">
        <v>45.494199999999999</v>
      </c>
      <c r="F349">
        <v>170190.20867200001</v>
      </c>
      <c r="G349">
        <v>84.507226943999996</v>
      </c>
    </row>
    <row r="350" spans="1:7" x14ac:dyDescent="0.15">
      <c r="A350" t="s">
        <v>459</v>
      </c>
      <c r="B350">
        <v>5862.1031999999996</v>
      </c>
      <c r="C350">
        <v>37.695500000000003</v>
      </c>
      <c r="D350">
        <v>42.724299999999999</v>
      </c>
      <c r="E350">
        <v>43.413499999999999</v>
      </c>
      <c r="F350">
        <v>94466.862481100005</v>
      </c>
      <c r="G350">
        <v>61.915913105000001</v>
      </c>
    </row>
    <row r="351" spans="1:7" x14ac:dyDescent="0.15">
      <c r="A351" t="s">
        <v>460</v>
      </c>
      <c r="B351">
        <v>2763.3303999999998</v>
      </c>
      <c r="C351">
        <v>35.830300000000001</v>
      </c>
      <c r="D351">
        <v>41.607399999999998</v>
      </c>
      <c r="E351">
        <v>41.842300000000002</v>
      </c>
      <c r="F351">
        <v>59765.286683799997</v>
      </c>
      <c r="G351">
        <v>51.812100887299998</v>
      </c>
    </row>
    <row r="352" spans="1:7" x14ac:dyDescent="0.15">
      <c r="A352" t="s">
        <v>461</v>
      </c>
      <c r="B352">
        <v>1430.5663999999999</v>
      </c>
      <c r="C352">
        <v>33.85</v>
      </c>
      <c r="D352">
        <v>40.633299999999998</v>
      </c>
      <c r="E352">
        <v>40.4574</v>
      </c>
      <c r="F352">
        <v>39163.925111999997</v>
      </c>
      <c r="G352">
        <v>45.1907310486</v>
      </c>
    </row>
    <row r="353" spans="1:7" x14ac:dyDescent="0.15">
      <c r="A353" t="s">
        <v>462</v>
      </c>
      <c r="B353">
        <v>60441.446400000001</v>
      </c>
      <c r="C353">
        <v>38.470100000000002</v>
      </c>
      <c r="D353">
        <v>42.086199999999998</v>
      </c>
      <c r="E353">
        <v>44.184600000000003</v>
      </c>
      <c r="F353">
        <v>135338.94170600001</v>
      </c>
      <c r="G353">
        <v>155.63165187800001</v>
      </c>
    </row>
    <row r="354" spans="1:7" x14ac:dyDescent="0.15">
      <c r="A354" t="s">
        <v>463</v>
      </c>
      <c r="B354">
        <v>8077.924</v>
      </c>
      <c r="C354">
        <v>35.355800000000002</v>
      </c>
      <c r="D354">
        <v>40.7393</v>
      </c>
      <c r="E354">
        <v>43.105400000000003</v>
      </c>
      <c r="F354">
        <v>52918.6322019</v>
      </c>
      <c r="G354">
        <v>68.140432119400003</v>
      </c>
    </row>
    <row r="355" spans="1:7" x14ac:dyDescent="0.15">
      <c r="A355" t="s">
        <v>464</v>
      </c>
      <c r="B355">
        <v>1914.5583999999999</v>
      </c>
      <c r="C355">
        <v>33.638500000000001</v>
      </c>
      <c r="D355">
        <v>39.597499999999997</v>
      </c>
      <c r="E355">
        <v>42.203299999999999</v>
      </c>
      <c r="F355">
        <v>29949.7850258</v>
      </c>
      <c r="G355">
        <v>45.304564952900002</v>
      </c>
    </row>
    <row r="356" spans="1:7" x14ac:dyDescent="0.15">
      <c r="A356" t="s">
        <v>465</v>
      </c>
      <c r="B356">
        <v>704.62959999999998</v>
      </c>
      <c r="C356">
        <v>31.6053</v>
      </c>
      <c r="D356">
        <v>38.746699999999997</v>
      </c>
      <c r="E356">
        <v>41.4786</v>
      </c>
      <c r="F356">
        <v>17991.440788</v>
      </c>
      <c r="G356">
        <v>34.664056062699999</v>
      </c>
    </row>
    <row r="357" spans="1:7" x14ac:dyDescent="0.15">
      <c r="A357" t="s">
        <v>466</v>
      </c>
      <c r="B357">
        <v>3390.0904</v>
      </c>
      <c r="C357">
        <v>40.509</v>
      </c>
      <c r="D357">
        <v>43.299300000000002</v>
      </c>
      <c r="E357">
        <v>43.988199999999999</v>
      </c>
      <c r="F357">
        <v>23214.253277100001</v>
      </c>
      <c r="G357">
        <v>16.227030038799999</v>
      </c>
    </row>
    <row r="358" spans="1:7" x14ac:dyDescent="0.15">
      <c r="A358" t="s">
        <v>467</v>
      </c>
      <c r="B358">
        <v>1526.2783999999999</v>
      </c>
      <c r="C358">
        <v>37.2483</v>
      </c>
      <c r="D358">
        <v>40.818100000000001</v>
      </c>
      <c r="E358">
        <v>41.198700000000002</v>
      </c>
      <c r="F358">
        <v>17353.732248100001</v>
      </c>
      <c r="G358">
        <v>11.6953940392</v>
      </c>
    </row>
    <row r="359" spans="1:7" x14ac:dyDescent="0.15">
      <c r="A359" t="s">
        <v>468</v>
      </c>
      <c r="B359">
        <v>750.77279999999996</v>
      </c>
      <c r="C359">
        <v>34.4863</v>
      </c>
      <c r="D359">
        <v>39.005499999999998</v>
      </c>
      <c r="E359">
        <v>39.306899999999999</v>
      </c>
      <c r="F359">
        <v>12528.616258100001</v>
      </c>
      <c r="G359">
        <v>9.5455358028399999</v>
      </c>
    </row>
    <row r="360" spans="1:7" x14ac:dyDescent="0.15">
      <c r="A360" t="s">
        <v>469</v>
      </c>
      <c r="B360">
        <v>393.86799999999999</v>
      </c>
      <c r="C360">
        <v>32.101199999999999</v>
      </c>
      <c r="D360">
        <v>37.426099999999998</v>
      </c>
      <c r="E360">
        <v>37.593800000000002</v>
      </c>
      <c r="F360">
        <v>8718.3260939100001</v>
      </c>
      <c r="G360">
        <v>7.83191800117</v>
      </c>
    </row>
    <row r="361" spans="1:7" x14ac:dyDescent="0.15">
      <c r="A361" t="s">
        <v>470</v>
      </c>
      <c r="B361">
        <v>3855.0720000000001</v>
      </c>
      <c r="C361">
        <v>40.389200000000002</v>
      </c>
      <c r="D361">
        <v>43.496499999999997</v>
      </c>
      <c r="E361">
        <v>44.971299999999999</v>
      </c>
      <c r="F361">
        <v>19735.047290999999</v>
      </c>
      <c r="G361">
        <v>17.4832060337</v>
      </c>
    </row>
    <row r="362" spans="1:7" x14ac:dyDescent="0.15">
      <c r="A362" t="s">
        <v>471</v>
      </c>
      <c r="B362">
        <v>1663.1464000000001</v>
      </c>
      <c r="C362">
        <v>37.457000000000001</v>
      </c>
      <c r="D362">
        <v>41.3825</v>
      </c>
      <c r="E362">
        <v>42.547899999999998</v>
      </c>
      <c r="F362">
        <v>13501.091764000001</v>
      </c>
      <c r="G362">
        <v>13.324666023300001</v>
      </c>
    </row>
    <row r="363" spans="1:7" x14ac:dyDescent="0.15">
      <c r="A363" t="s">
        <v>472</v>
      </c>
      <c r="B363">
        <v>814.75919999999996</v>
      </c>
      <c r="C363">
        <v>34.528599999999997</v>
      </c>
      <c r="D363">
        <v>39.775300000000001</v>
      </c>
      <c r="E363">
        <v>40.740400000000001</v>
      </c>
      <c r="F363">
        <v>9806.6712379500004</v>
      </c>
      <c r="G363">
        <v>10.448064088800001</v>
      </c>
    </row>
    <row r="364" spans="1:7" x14ac:dyDescent="0.15">
      <c r="A364" t="s">
        <v>473</v>
      </c>
      <c r="B364">
        <v>414.32</v>
      </c>
      <c r="C364">
        <v>31.674199999999999</v>
      </c>
      <c r="D364">
        <v>38.520099999999999</v>
      </c>
      <c r="E364">
        <v>39.4176</v>
      </c>
      <c r="F364">
        <v>7396.6433119800004</v>
      </c>
      <c r="G364">
        <v>7.7962310314199996</v>
      </c>
    </row>
    <row r="365" spans="1:7" x14ac:dyDescent="0.15">
      <c r="A365" t="s">
        <v>474</v>
      </c>
      <c r="B365">
        <v>7666.3536000000004</v>
      </c>
      <c r="C365">
        <v>38.4983</v>
      </c>
      <c r="D365">
        <v>41.430199999999999</v>
      </c>
      <c r="E365">
        <v>42.377899999999997</v>
      </c>
      <c r="F365">
        <v>23358.061170100002</v>
      </c>
      <c r="G365">
        <v>22.4242558479</v>
      </c>
    </row>
    <row r="366" spans="1:7" x14ac:dyDescent="0.15">
      <c r="A366" t="s">
        <v>475</v>
      </c>
      <c r="B366">
        <v>3067.1064000000001</v>
      </c>
      <c r="C366">
        <v>34.557499999999997</v>
      </c>
      <c r="D366">
        <v>38.606299999999997</v>
      </c>
      <c r="E366">
        <v>39.436500000000002</v>
      </c>
      <c r="F366">
        <v>15012.346858000001</v>
      </c>
      <c r="G366">
        <v>15.580949068100001</v>
      </c>
    </row>
    <row r="367" spans="1:7" x14ac:dyDescent="0.15">
      <c r="A367" t="s">
        <v>476</v>
      </c>
      <c r="B367">
        <v>1346.8304000000001</v>
      </c>
      <c r="C367">
        <v>31.171099999999999</v>
      </c>
      <c r="D367">
        <v>36.708199999999998</v>
      </c>
      <c r="E367">
        <v>37.488500000000002</v>
      </c>
      <c r="F367">
        <v>10765.9083431</v>
      </c>
      <c r="G367">
        <v>11.421545028700001</v>
      </c>
    </row>
    <row r="368" spans="1:7" x14ac:dyDescent="0.15">
      <c r="A368" t="s">
        <v>477</v>
      </c>
      <c r="B368">
        <v>578.99760000000003</v>
      </c>
      <c r="C368">
        <v>27.992799999999999</v>
      </c>
      <c r="D368">
        <v>35.369500000000002</v>
      </c>
      <c r="E368">
        <v>36.144100000000002</v>
      </c>
      <c r="F368">
        <v>7783.7357430499997</v>
      </c>
      <c r="G368">
        <v>8.2159759998300004</v>
      </c>
    </row>
    <row r="369" spans="1:7" x14ac:dyDescent="0.15">
      <c r="A369" t="s">
        <v>478</v>
      </c>
      <c r="B369">
        <v>5465.6728000000003</v>
      </c>
      <c r="C369">
        <v>40.137700000000002</v>
      </c>
      <c r="D369">
        <v>41.650100000000002</v>
      </c>
      <c r="E369">
        <v>42.9895</v>
      </c>
      <c r="F369">
        <v>20740.142888999999</v>
      </c>
      <c r="G369">
        <v>13.415332078900001</v>
      </c>
    </row>
    <row r="370" spans="1:7" x14ac:dyDescent="0.15">
      <c r="A370" t="s">
        <v>479</v>
      </c>
      <c r="B370">
        <v>2045.3320000000001</v>
      </c>
      <c r="C370">
        <v>36.283700000000003</v>
      </c>
      <c r="D370">
        <v>38.9818</v>
      </c>
      <c r="E370">
        <v>40.591900000000003</v>
      </c>
      <c r="F370">
        <v>13029.9189811</v>
      </c>
      <c r="G370">
        <v>9.9853060245500007</v>
      </c>
    </row>
    <row r="371" spans="1:7" x14ac:dyDescent="0.15">
      <c r="A371" t="s">
        <v>480</v>
      </c>
      <c r="B371">
        <v>915.98</v>
      </c>
      <c r="C371">
        <v>33.253599999999999</v>
      </c>
      <c r="D371">
        <v>37.248399999999997</v>
      </c>
      <c r="E371">
        <v>39.050400000000003</v>
      </c>
      <c r="F371">
        <v>9799.3564219500004</v>
      </c>
      <c r="G371">
        <v>7.7885870933500003</v>
      </c>
    </row>
    <row r="372" spans="1:7" x14ac:dyDescent="0.15">
      <c r="A372" t="s">
        <v>481</v>
      </c>
      <c r="B372">
        <v>418.78640000000001</v>
      </c>
      <c r="C372">
        <v>30.465</v>
      </c>
      <c r="D372">
        <v>36.029299999999999</v>
      </c>
      <c r="E372">
        <v>37.828699999999998</v>
      </c>
      <c r="F372">
        <v>6729.3577139400004</v>
      </c>
      <c r="G372">
        <v>6.2153689861299997</v>
      </c>
    </row>
    <row r="373" spans="1:7" x14ac:dyDescent="0.15">
      <c r="A373" t="s">
        <v>482</v>
      </c>
      <c r="B373">
        <v>1566.2311999999999</v>
      </c>
      <c r="C373">
        <v>41.259599999999999</v>
      </c>
      <c r="D373">
        <v>44.169199999999996</v>
      </c>
      <c r="E373">
        <v>43.625399999999999</v>
      </c>
      <c r="F373">
        <v>6191.1934912200004</v>
      </c>
      <c r="G373">
        <v>4.8223090171800003</v>
      </c>
    </row>
    <row r="374" spans="1:7" x14ac:dyDescent="0.15">
      <c r="A374" t="s">
        <v>483</v>
      </c>
      <c r="B374">
        <v>758.79840000000002</v>
      </c>
      <c r="C374">
        <v>37.197499999999998</v>
      </c>
      <c r="D374">
        <v>41.388599999999997</v>
      </c>
      <c r="E374">
        <v>40.3889</v>
      </c>
      <c r="F374">
        <v>4532.60471702</v>
      </c>
      <c r="G374">
        <v>3.63831496239</v>
      </c>
    </row>
    <row r="375" spans="1:7" x14ac:dyDescent="0.15">
      <c r="A375" t="s">
        <v>484</v>
      </c>
      <c r="B375">
        <v>383.37599999999998</v>
      </c>
      <c r="C375">
        <v>33.7776</v>
      </c>
      <c r="D375">
        <v>39.555700000000002</v>
      </c>
      <c r="E375">
        <v>38.337600000000002</v>
      </c>
      <c r="F375">
        <v>3511.6288421200002</v>
      </c>
      <c r="G375">
        <v>2.7885239124300001</v>
      </c>
    </row>
    <row r="376" spans="1:7" x14ac:dyDescent="0.15">
      <c r="A376" t="s">
        <v>485</v>
      </c>
      <c r="B376">
        <v>199.56800000000001</v>
      </c>
      <c r="C376">
        <v>30.9132</v>
      </c>
      <c r="D376">
        <v>38.0672</v>
      </c>
      <c r="E376">
        <v>36.652700000000003</v>
      </c>
      <c r="F376">
        <v>2491.2573070499998</v>
      </c>
      <c r="G376">
        <v>2.1792280674</v>
      </c>
    </row>
    <row r="377" spans="1:7" x14ac:dyDescent="0.15">
      <c r="A377" t="s">
        <v>486</v>
      </c>
      <c r="B377">
        <v>2259.9168</v>
      </c>
      <c r="C377">
        <v>38.492199999999997</v>
      </c>
      <c r="D377">
        <v>42.795499999999997</v>
      </c>
      <c r="E377">
        <v>43.878500000000003</v>
      </c>
      <c r="F377">
        <v>4833.9646110499998</v>
      </c>
      <c r="G377">
        <v>6.4443349838300001</v>
      </c>
    </row>
    <row r="378" spans="1:7" x14ac:dyDescent="0.15">
      <c r="A378" t="s">
        <v>487</v>
      </c>
      <c r="B378">
        <v>720.68799999999999</v>
      </c>
      <c r="C378">
        <v>34.4938</v>
      </c>
      <c r="D378">
        <v>40.754199999999997</v>
      </c>
      <c r="E378">
        <v>41.785499999999999</v>
      </c>
      <c r="F378">
        <v>2804.6212720899998</v>
      </c>
      <c r="G378">
        <v>3.957654953</v>
      </c>
    </row>
    <row r="379" spans="1:7" x14ac:dyDescent="0.15">
      <c r="A379" t="s">
        <v>488</v>
      </c>
      <c r="B379">
        <v>263.65359999999998</v>
      </c>
      <c r="C379">
        <v>31.378900000000002</v>
      </c>
      <c r="D379">
        <v>39.334400000000002</v>
      </c>
      <c r="E379">
        <v>40.360700000000001</v>
      </c>
      <c r="F379">
        <v>1710.7602059799999</v>
      </c>
      <c r="G379">
        <v>2.7397029399899999</v>
      </c>
    </row>
    <row r="380" spans="1:7" x14ac:dyDescent="0.15">
      <c r="A380" t="s">
        <v>489</v>
      </c>
      <c r="B380">
        <v>103.4248</v>
      </c>
      <c r="C380">
        <v>28.487100000000002</v>
      </c>
      <c r="D380">
        <v>38.578600000000002</v>
      </c>
      <c r="E380">
        <v>39.362900000000003</v>
      </c>
      <c r="F380">
        <v>1195.1518280499999</v>
      </c>
      <c r="G380">
        <v>2.30104804039</v>
      </c>
    </row>
    <row r="381" spans="1:7" x14ac:dyDescent="0.15">
      <c r="A381" t="s">
        <v>490</v>
      </c>
      <c r="B381">
        <v>1827.3879999999999</v>
      </c>
      <c r="C381">
        <v>38.277099999999997</v>
      </c>
      <c r="D381">
        <v>41.046599999999998</v>
      </c>
      <c r="E381">
        <v>41.799700000000001</v>
      </c>
      <c r="F381">
        <v>4953.9548690299998</v>
      </c>
      <c r="G381">
        <v>5.2494540214500001</v>
      </c>
    </row>
    <row r="382" spans="1:7" x14ac:dyDescent="0.15">
      <c r="A382" t="s">
        <v>491</v>
      </c>
      <c r="B382">
        <v>736.86879999999996</v>
      </c>
      <c r="C382">
        <v>34.407400000000003</v>
      </c>
      <c r="D382">
        <v>38.282400000000003</v>
      </c>
      <c r="E382">
        <v>38.847900000000003</v>
      </c>
      <c r="F382">
        <v>3331.4442369899998</v>
      </c>
      <c r="G382">
        <v>3.4127769470199998</v>
      </c>
    </row>
    <row r="383" spans="1:7" x14ac:dyDescent="0.15">
      <c r="A383" t="s">
        <v>492</v>
      </c>
      <c r="B383">
        <v>319.44159999999999</v>
      </c>
      <c r="C383">
        <v>30.991099999999999</v>
      </c>
      <c r="D383">
        <v>36.299700000000001</v>
      </c>
      <c r="E383">
        <v>36.8354</v>
      </c>
      <c r="F383">
        <v>2339.3655519499998</v>
      </c>
      <c r="G383">
        <v>2.3962979316699999</v>
      </c>
    </row>
    <row r="384" spans="1:7" x14ac:dyDescent="0.15">
      <c r="A384" t="s">
        <v>493</v>
      </c>
      <c r="B384">
        <v>138.50479999999999</v>
      </c>
      <c r="C384">
        <v>27.994900000000001</v>
      </c>
      <c r="D384">
        <v>34.873899999999999</v>
      </c>
      <c r="E384">
        <v>35.442</v>
      </c>
      <c r="F384">
        <v>1660.7722191800001</v>
      </c>
      <c r="G384">
        <v>1.84709095955</v>
      </c>
    </row>
    <row r="385" spans="1:7" x14ac:dyDescent="0.15">
      <c r="A385" t="s">
        <v>494</v>
      </c>
      <c r="B385">
        <v>1230.6704</v>
      </c>
      <c r="C385">
        <v>40.1997</v>
      </c>
      <c r="D385">
        <v>41.549399999999999</v>
      </c>
      <c r="E385">
        <v>42.581499999999998</v>
      </c>
      <c r="F385">
        <v>4413.7438988699996</v>
      </c>
      <c r="G385">
        <v>3.5261669158900002</v>
      </c>
    </row>
    <row r="386" spans="1:7" x14ac:dyDescent="0.15">
      <c r="A386" t="s">
        <v>495</v>
      </c>
      <c r="B386">
        <v>566.87360000000001</v>
      </c>
      <c r="C386">
        <v>35.976199999999999</v>
      </c>
      <c r="D386">
        <v>38.624899999999997</v>
      </c>
      <c r="E386">
        <v>39.820099999999996</v>
      </c>
      <c r="F386">
        <v>3075.9732029400002</v>
      </c>
      <c r="G386">
        <v>2.5767209529900001</v>
      </c>
    </row>
    <row r="387" spans="1:7" x14ac:dyDescent="0.15">
      <c r="A387" t="s">
        <v>496</v>
      </c>
      <c r="B387">
        <v>274.9896</v>
      </c>
      <c r="C387">
        <v>32.444800000000001</v>
      </c>
      <c r="D387">
        <v>36.843000000000004</v>
      </c>
      <c r="E387">
        <v>38.002600000000001</v>
      </c>
      <c r="F387">
        <v>2246.72744513</v>
      </c>
      <c r="G387">
        <v>1.93532204628</v>
      </c>
    </row>
    <row r="388" spans="1:7" x14ac:dyDescent="0.15">
      <c r="A388" t="s">
        <v>497</v>
      </c>
      <c r="B388">
        <v>135.05680000000001</v>
      </c>
      <c r="C388">
        <v>29.59</v>
      </c>
      <c r="D388">
        <v>35.480200000000004</v>
      </c>
      <c r="E388">
        <v>36.505499999999998</v>
      </c>
      <c r="F388">
        <v>1591.625</v>
      </c>
      <c r="G388">
        <v>1.4806489944500001</v>
      </c>
    </row>
    <row r="389" spans="1:7" x14ac:dyDescent="0.15">
      <c r="A389" t="s">
        <v>498</v>
      </c>
      <c r="B389">
        <v>2164.5983999999999</v>
      </c>
      <c r="C389">
        <v>42.883499999999998</v>
      </c>
      <c r="D389">
        <v>46.877299999999998</v>
      </c>
      <c r="E389">
        <v>48.2134</v>
      </c>
      <c r="F389">
        <v>21888.1557899</v>
      </c>
      <c r="G389">
        <v>25.4156780243</v>
      </c>
    </row>
    <row r="390" spans="1:7" x14ac:dyDescent="0.15">
      <c r="A390" t="s">
        <v>499</v>
      </c>
      <c r="B390">
        <v>772.51599999999996</v>
      </c>
      <c r="C390">
        <v>40.564399999999999</v>
      </c>
      <c r="D390">
        <v>44.8855</v>
      </c>
      <c r="E390">
        <v>46.235300000000002</v>
      </c>
      <c r="F390">
        <v>13031.7644851</v>
      </c>
      <c r="G390">
        <v>16.223189115499999</v>
      </c>
    </row>
    <row r="391" spans="1:7" x14ac:dyDescent="0.15">
      <c r="A391" t="s">
        <v>500</v>
      </c>
      <c r="B391">
        <v>381.05759999999998</v>
      </c>
      <c r="C391">
        <v>38.004100000000001</v>
      </c>
      <c r="D391">
        <v>43.261899999999997</v>
      </c>
      <c r="E391">
        <v>44.589599999999997</v>
      </c>
      <c r="F391">
        <v>9422.8975558300008</v>
      </c>
      <c r="G391">
        <v>14.1364700794</v>
      </c>
    </row>
    <row r="392" spans="1:7" x14ac:dyDescent="0.15">
      <c r="A392" t="s">
        <v>501</v>
      </c>
      <c r="B392">
        <v>201.30240000000001</v>
      </c>
      <c r="C392">
        <v>35.163400000000003</v>
      </c>
      <c r="D392">
        <v>41.892600000000002</v>
      </c>
      <c r="E392">
        <v>43.086199999999998</v>
      </c>
      <c r="F392">
        <v>6966.4657249499996</v>
      </c>
      <c r="G392">
        <v>12.1905751228</v>
      </c>
    </row>
    <row r="393" spans="1:7" x14ac:dyDescent="0.15">
      <c r="A393" t="s">
        <v>502</v>
      </c>
      <c r="B393">
        <v>1619.7824000000001</v>
      </c>
      <c r="C393">
        <v>43.206600000000002</v>
      </c>
      <c r="D393">
        <v>48.454500000000003</v>
      </c>
      <c r="E393">
        <v>49.142299999999999</v>
      </c>
      <c r="F393">
        <v>19019.235906099999</v>
      </c>
      <c r="G393">
        <v>20.807471036900001</v>
      </c>
    </row>
    <row r="394" spans="1:7" x14ac:dyDescent="0.15">
      <c r="A394" t="s">
        <v>503</v>
      </c>
      <c r="B394">
        <v>371.62639999999999</v>
      </c>
      <c r="C394">
        <v>41.428100000000001</v>
      </c>
      <c r="D394">
        <v>46.868899999999996</v>
      </c>
      <c r="E394">
        <v>47.581499999999998</v>
      </c>
      <c r="F394">
        <v>9865.9821898900009</v>
      </c>
      <c r="G394">
        <v>14.7460939884</v>
      </c>
    </row>
    <row r="395" spans="1:7" x14ac:dyDescent="0.15">
      <c r="A395" t="s">
        <v>504</v>
      </c>
      <c r="B395">
        <v>158.68</v>
      </c>
      <c r="C395">
        <v>39.423000000000002</v>
      </c>
      <c r="D395">
        <v>45.262300000000003</v>
      </c>
      <c r="E395">
        <v>46.022199999999998</v>
      </c>
      <c r="F395">
        <v>6415.9537839900004</v>
      </c>
      <c r="G395">
        <v>13.3307380676</v>
      </c>
    </row>
    <row r="396" spans="1:7" x14ac:dyDescent="0.15">
      <c r="A396" t="s">
        <v>505</v>
      </c>
      <c r="B396">
        <v>83.723200000000006</v>
      </c>
      <c r="C396">
        <v>37.058700000000002</v>
      </c>
      <c r="D396">
        <v>44.039200000000001</v>
      </c>
      <c r="E396">
        <v>44.555399999999999</v>
      </c>
      <c r="F396">
        <v>4273.0042941600004</v>
      </c>
      <c r="G396">
        <v>11.853482008</v>
      </c>
    </row>
    <row r="397" spans="1:7" x14ac:dyDescent="0.15">
      <c r="A397" t="s">
        <v>506</v>
      </c>
      <c r="B397">
        <v>1933.8432</v>
      </c>
      <c r="C397">
        <v>43.555900000000001</v>
      </c>
      <c r="D397">
        <v>47.685699999999997</v>
      </c>
      <c r="E397">
        <v>48.650399999999998</v>
      </c>
      <c r="F397">
        <v>23691.332683100001</v>
      </c>
      <c r="G397">
        <v>22.9644770622</v>
      </c>
    </row>
    <row r="398" spans="1:7" x14ac:dyDescent="0.15">
      <c r="A398" t="s">
        <v>507</v>
      </c>
      <c r="B398">
        <v>613.2192</v>
      </c>
      <c r="C398">
        <v>41.479199999999999</v>
      </c>
      <c r="D398">
        <v>45.762099999999997</v>
      </c>
      <c r="E398">
        <v>46.756700000000002</v>
      </c>
      <c r="F398">
        <v>13366.7985759</v>
      </c>
      <c r="G398">
        <v>16.682591915100002</v>
      </c>
    </row>
    <row r="399" spans="1:7" x14ac:dyDescent="0.15">
      <c r="A399" t="s">
        <v>508</v>
      </c>
      <c r="B399">
        <v>272.58960000000002</v>
      </c>
      <c r="C399">
        <v>39.192100000000003</v>
      </c>
      <c r="D399">
        <v>44.063299999999998</v>
      </c>
      <c r="E399">
        <v>45.177300000000002</v>
      </c>
      <c r="F399">
        <v>9516.7769551300007</v>
      </c>
      <c r="G399">
        <v>15.277979135500001</v>
      </c>
    </row>
    <row r="400" spans="1:7" x14ac:dyDescent="0.15">
      <c r="A400" t="s">
        <v>509</v>
      </c>
      <c r="B400">
        <v>140.8552</v>
      </c>
      <c r="C400">
        <v>36.625599999999999</v>
      </c>
      <c r="D400">
        <v>42.779800000000002</v>
      </c>
      <c r="E400">
        <v>44.015700000000002</v>
      </c>
      <c r="F400">
        <v>6184.8485670099999</v>
      </c>
      <c r="G400">
        <v>13.296185016600001</v>
      </c>
    </row>
    <row r="401" spans="1:7" x14ac:dyDescent="0.15">
      <c r="A401" t="s">
        <v>510</v>
      </c>
      <c r="B401">
        <v>3593.6776</v>
      </c>
      <c r="C401">
        <v>40.613999999999997</v>
      </c>
      <c r="D401">
        <v>43.165799999999997</v>
      </c>
      <c r="E401">
        <v>43.8003</v>
      </c>
      <c r="F401">
        <v>21859.337851</v>
      </c>
      <c r="G401">
        <v>16.168041944500001</v>
      </c>
    </row>
    <row r="402" spans="1:7" x14ac:dyDescent="0.15">
      <c r="A402" t="s">
        <v>511</v>
      </c>
      <c r="B402">
        <v>1627.5472</v>
      </c>
      <c r="C402">
        <v>37.227400000000003</v>
      </c>
      <c r="D402">
        <v>40.4161</v>
      </c>
      <c r="E402">
        <v>40.8264</v>
      </c>
      <c r="F402">
        <v>16713.937436100001</v>
      </c>
      <c r="G402">
        <v>12.3492019176</v>
      </c>
    </row>
    <row r="403" spans="1:7" x14ac:dyDescent="0.15">
      <c r="A403" t="s">
        <v>512</v>
      </c>
      <c r="B403">
        <v>804.72479999999996</v>
      </c>
      <c r="C403">
        <v>34.354999999999997</v>
      </c>
      <c r="D403">
        <v>38.362900000000003</v>
      </c>
      <c r="E403">
        <v>38.712400000000002</v>
      </c>
      <c r="F403">
        <v>11812.3741579</v>
      </c>
      <c r="G403">
        <v>9.7051091194199994</v>
      </c>
    </row>
    <row r="404" spans="1:7" x14ac:dyDescent="0.15">
      <c r="A404" t="s">
        <v>513</v>
      </c>
      <c r="B404">
        <v>423.1712</v>
      </c>
      <c r="C404">
        <v>31.763200000000001</v>
      </c>
      <c r="D404">
        <v>36.729599999999998</v>
      </c>
      <c r="E404">
        <v>36.890900000000002</v>
      </c>
      <c r="F404">
        <v>8492.4408979399996</v>
      </c>
      <c r="G404">
        <v>7.4516961574599998</v>
      </c>
    </row>
    <row r="405" spans="1:7" x14ac:dyDescent="0.15">
      <c r="A405" t="s">
        <v>514</v>
      </c>
      <c r="B405">
        <v>13678.190399999999</v>
      </c>
      <c r="C405">
        <v>42.374099999999999</v>
      </c>
      <c r="D405">
        <v>44.205800000000004</v>
      </c>
      <c r="E405">
        <v>44.8994</v>
      </c>
      <c r="F405">
        <v>74643.665364999993</v>
      </c>
      <c r="G405">
        <v>80.508993864100006</v>
      </c>
    </row>
    <row r="406" spans="1:7" x14ac:dyDescent="0.15">
      <c r="A406" t="s">
        <v>515</v>
      </c>
      <c r="B406">
        <v>5719.9279999999999</v>
      </c>
      <c r="C406">
        <v>38.9116</v>
      </c>
      <c r="D406">
        <v>41.4666</v>
      </c>
      <c r="E406">
        <v>41.951900000000002</v>
      </c>
      <c r="F406">
        <v>54494.825452800003</v>
      </c>
      <c r="G406">
        <v>59.861099004700002</v>
      </c>
    </row>
    <row r="407" spans="1:7" x14ac:dyDescent="0.15">
      <c r="A407" t="s">
        <v>516</v>
      </c>
      <c r="B407">
        <v>2649.8575999999998</v>
      </c>
      <c r="C407">
        <v>35.933199999999999</v>
      </c>
      <c r="D407">
        <v>39.529200000000003</v>
      </c>
      <c r="E407">
        <v>39.871299999999998</v>
      </c>
      <c r="F407">
        <v>42299.627576799998</v>
      </c>
      <c r="G407">
        <v>47.318634986900001</v>
      </c>
    </row>
    <row r="408" spans="1:7" x14ac:dyDescent="0.15">
      <c r="A408" t="s">
        <v>517</v>
      </c>
      <c r="B408">
        <v>1315.0856000000001</v>
      </c>
      <c r="C408">
        <v>33.2455</v>
      </c>
      <c r="D408">
        <v>37.978200000000001</v>
      </c>
      <c r="E408">
        <v>38.1661</v>
      </c>
      <c r="F408">
        <v>29662.797605</v>
      </c>
      <c r="G408">
        <v>36.946845054599997</v>
      </c>
    </row>
    <row r="409" spans="1:7" x14ac:dyDescent="0.15">
      <c r="A409" t="s">
        <v>518</v>
      </c>
      <c r="B409">
        <v>280.64960000000002</v>
      </c>
      <c r="C409">
        <v>47.358600000000003</v>
      </c>
      <c r="D409">
        <v>45.725299999999997</v>
      </c>
      <c r="E409">
        <v>45.982999999999997</v>
      </c>
      <c r="F409">
        <v>2414.6120669799998</v>
      </c>
      <c r="G409">
        <v>4.9250831603999998</v>
      </c>
    </row>
    <row r="410" spans="1:7" x14ac:dyDescent="0.15">
      <c r="A410" t="s">
        <v>519</v>
      </c>
      <c r="B410">
        <v>209.37440000000001</v>
      </c>
      <c r="C410">
        <v>43.078600000000002</v>
      </c>
      <c r="D410">
        <v>41.660899999999998</v>
      </c>
      <c r="E410">
        <v>42.0456</v>
      </c>
      <c r="F410">
        <v>2064.2429721399999</v>
      </c>
      <c r="G410">
        <v>4.8001120090500002</v>
      </c>
    </row>
    <row r="411" spans="1:7" x14ac:dyDescent="0.15">
      <c r="A411" t="s">
        <v>520</v>
      </c>
      <c r="B411">
        <v>155.28960000000001</v>
      </c>
      <c r="C411">
        <v>38.47</v>
      </c>
      <c r="D411">
        <v>39.478299999999997</v>
      </c>
      <c r="E411">
        <v>40.044800000000002</v>
      </c>
      <c r="F411">
        <v>1974.27075195</v>
      </c>
      <c r="G411">
        <v>5.4032881259899996</v>
      </c>
    </row>
    <row r="412" spans="1:7" x14ac:dyDescent="0.15">
      <c r="A412" t="s">
        <v>521</v>
      </c>
      <c r="B412">
        <v>112.8528</v>
      </c>
      <c r="C412">
        <v>33.560600000000001</v>
      </c>
      <c r="D412">
        <v>38.334299999999999</v>
      </c>
      <c r="E412">
        <v>38.8078</v>
      </c>
      <c r="F412">
        <v>1835.38482189</v>
      </c>
      <c r="G412">
        <v>5.2327990531899999</v>
      </c>
    </row>
    <row r="413" spans="1:7" x14ac:dyDescent="0.15">
      <c r="A413" t="s">
        <v>522</v>
      </c>
      <c r="B413">
        <v>588.85180000000003</v>
      </c>
      <c r="C413">
        <v>49.390099999999997</v>
      </c>
      <c r="D413">
        <v>52.907200000000003</v>
      </c>
      <c r="E413">
        <v>53.9345</v>
      </c>
      <c r="F413">
        <v>10793.8274062</v>
      </c>
      <c r="G413">
        <v>13.2792289257</v>
      </c>
    </row>
    <row r="414" spans="1:7" x14ac:dyDescent="0.15">
      <c r="A414" t="s">
        <v>523</v>
      </c>
      <c r="B414">
        <v>322.0378</v>
      </c>
      <c r="C414">
        <v>45.367699999999999</v>
      </c>
      <c r="D414">
        <v>49.595599999999997</v>
      </c>
      <c r="E414">
        <v>50.798900000000003</v>
      </c>
      <c r="F414">
        <v>9378.4716680000001</v>
      </c>
      <c r="G414">
        <v>13.3186991215</v>
      </c>
    </row>
    <row r="415" spans="1:7" x14ac:dyDescent="0.15">
      <c r="A415" t="s">
        <v>524</v>
      </c>
      <c r="B415">
        <v>182.80289999999999</v>
      </c>
      <c r="C415">
        <v>41.642200000000003</v>
      </c>
      <c r="D415">
        <v>47.219499999999996</v>
      </c>
      <c r="E415">
        <v>48.324199999999998</v>
      </c>
      <c r="F415">
        <v>7523.6465609099996</v>
      </c>
      <c r="G415">
        <v>12.2046449184</v>
      </c>
    </row>
    <row r="416" spans="1:7" x14ac:dyDescent="0.15">
      <c r="A416" t="s">
        <v>525</v>
      </c>
      <c r="B416">
        <v>108.873</v>
      </c>
      <c r="C416">
        <v>37.8797</v>
      </c>
      <c r="D416">
        <v>45.154800000000002</v>
      </c>
      <c r="E416">
        <v>46.947699999999998</v>
      </c>
      <c r="F416">
        <v>6083.95104885</v>
      </c>
      <c r="G416">
        <v>12.078322887400001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YueJian</cp:lastModifiedBy>
  <dcterms:created xsi:type="dcterms:W3CDTF">2011-06-30T00:09:01Z</dcterms:created>
  <dcterms:modified xsi:type="dcterms:W3CDTF">2020-04-06T11:16:33Z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(3)e92kOelcbDwjiCLPY+AjYwXlQXl0xc8wm35C8nr41MJMbaCO+w5z+71//UITO07UPOJ3DmSM
39U8a8+Vhv09U/a9iCvZ3vPMjgbx5IRFQcZKq4bL70VaDMW6xgcZ8X9TPv51HtBcUNi0uXI4
XzLlAbwZzmCKPzfMSftanewgzBaKGESIIoVQ6aHTewGMzi2hgvrqgGJAfLmsKT4gUrUmdlrA
Xq6xjolxFTPoY6XR/8</vt:lpwstr>
  </property>
  <property fmtid="{D5CDD505-2E9C-101B-9397-08002B2CF9AE}" pid="3" name="_2015_ms_pID_7253431">
    <vt:lpwstr>Bn5jbfJKe27qWzp7Zx/MRgPVo2VLclf24MD9NmzXASUzkuh+HWk1nh
CH3atH95uyKHHW3HelRL6dBJVMSHgByzte2bz7/mhXqHCpun144wd8FkdZe+yMxQpSOFeRmp
9A1EWl0YYyhytAi9hI5gmTTwNfKOMrrNx1QZPzgNZO8gddslSivHLng08EFm9kf8OxL2RKBJ
hKqn9EHe/5vmBhOlUWws6W5lsLXMll/fAw5c</vt:lpwstr>
  </property>
  <property fmtid="{D5CDD505-2E9C-101B-9397-08002B2CF9AE}" pid="4" name="_2015_ms_pID_7253432">
    <vt:lpwstr>SbMPHB7shJBUzZGo/HWyEmU=</vt:lpwstr>
  </property>
</Properties>
</file>